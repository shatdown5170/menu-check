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사용안내" sheetId="1" state="visible" r:id="rId1"/>
    <sheet name="① 업무마스터(R&amp;R)" sheetId="2" state="visible" r:id="rId2"/>
    <sheet name="② 팀원별 부하" sheetId="3" state="visible" r:id="rId3"/>
    <sheet name="③ 긴급배분 가이드" sheetId="4" state="visible" r:id="rId4"/>
    <sheet name="빈 템플릿" sheetId="5" state="visible" r:id="rId5"/>
    <sheet name="참조" sheetId="6" state="hidden" r:id="rId6"/>
  </sheets>
  <definedNames>
    <definedName name="주기표">참조!$A$2:$B$11</definedName>
    <definedName name="목록_분류">참조!$D$2:$D$7</definedName>
    <definedName name="목록_난이도">참조!$E$2:$E$4</definedName>
    <definedName name="목록_자동화">참조!$F$2:$F$4</definedName>
    <definedName name="목록_우선순위">참조!$G$2:$G$4</definedName>
    <definedName name="목록_팀원">참조!$H$2:$H$6</definedName>
    <definedName name="목록_주기">참조!$I$2:$I$11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1F3864"/>
      <sz val="10"/>
    </font>
    <font>
      <name val="맑은 고딕"/>
      <b val="1"/>
      <color rgb="001F3864"/>
      <sz val="11"/>
    </font>
    <font>
      <name val="맑은 고딕"/>
      <b val="1"/>
      <color rgb="00000000"/>
      <sz val="11"/>
    </font>
    <font>
      <name val="맑은 고딕"/>
      <b val="1"/>
      <color rgb="001F3864"/>
      <sz val="18"/>
    </font>
    <font>
      <name val="맑은 고딕"/>
      <color rgb="00808080"/>
      <sz val="10"/>
    </font>
    <font>
      <name val="맑은 고딕"/>
      <b val="1"/>
      <color rgb="00FFFFFF"/>
      <sz val="12"/>
    </font>
    <font>
      <name val="맑은 고딕"/>
      <b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A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9C6500"/>
      </left>
      <right style="medium">
        <color rgb="009C6500"/>
      </right>
      <top style="medium">
        <color rgb="009C6500"/>
      </top>
      <bottom style="medium">
        <color rgb="009C65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8" fillId="3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indent="1"/>
    </xf>
    <xf numFmtId="0" fontId="10" fillId="4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5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9" fontId="5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8" borderId="2" applyAlignment="1" pivotButton="0" quotePrefix="0" xfId="0">
      <alignment horizontal="center" vertical="center" wrapText="1"/>
    </xf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4">
    <dxf>
      <font>
        <name val="맑은 고딕"/>
        <b val="1"/>
        <color rgb="009C0006"/>
        <sz val="10"/>
      </font>
      <fill>
        <patternFill patternType="solid">
          <fgColor rgb="00FFC7CE"/>
        </patternFill>
      </fill>
    </dxf>
    <dxf>
      <font>
        <name val="맑은 고딕"/>
        <color rgb="009C6500"/>
        <sz val="10"/>
      </font>
      <fill>
        <patternFill patternType="solid">
          <fgColor rgb="00FFEB9C"/>
        </patternFill>
      </fill>
    </dxf>
    <dxf>
      <font>
        <name val="맑은 고딕"/>
        <b val="1"/>
        <color rgb="00006100"/>
        <sz val="10"/>
      </font>
      <fill>
        <patternFill patternType="solid">
          <fgColor rgb="00C6EFCE"/>
        </patternFill>
      </fill>
    </dxf>
    <dxf>
      <font>
        <name val="맑은 고딕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 ht="40" customHeight="1">
      <c r="B2" s="1" t="inlineStr">
        <is>
          <t>팀 R&amp;R · 업무량 · 긴급배분 관리 시트</t>
        </is>
      </c>
    </row>
    <row r="3">
      <c r="B3" s="2" t="inlineStr">
        <is>
          <t>기획/PM/운영 팀용 · 주당 가용 32시간 기준 · 회당시간×주기 자동 월환산</t>
        </is>
      </c>
    </row>
    <row r="5" ht="26" customHeight="1">
      <c r="B5" s="3" t="inlineStr">
        <is>
          <t>이 파일의 구성</t>
        </is>
      </c>
    </row>
    <row r="6" ht="20" customHeight="1">
      <c r="B6" s="4" t="inlineStr">
        <is>
          <t>📑 ① 업무마스터(R&amp;R) : 모든 업무를 한 줄씩 기록하는 핵심 시트 (샘플 20개 포함). 누가 주담당/백업인지, 얼마나 걸리는지, 누가 꼭 해야 하는지 정리.</t>
        </is>
      </c>
    </row>
    <row r="7" ht="20" customHeight="1">
      <c r="B7" s="4" t="inlineStr">
        <is>
          <t>📊 ② 팀원별 부하 : 위 데이터를 사람별로 자동 합산 — 누가 과부하이고 누가 여유 있는지 한눈에.</t>
        </is>
      </c>
    </row>
    <row r="8" ht="20" customHeight="1">
      <c r="B8" s="4" t="inlineStr">
        <is>
          <t>🚨 ③ 긴급배분 가이드 : 갑작스런 업무가 생겼을 때 '누가 받을 수 있는지'를 예상 소요시간 입력만으로 확인.</t>
        </is>
      </c>
    </row>
    <row r="9" ht="20" customHeight="1">
      <c r="B9" s="4" t="inlineStr">
        <is>
          <t>📝 빈 템플릿 : 샘플을 지운 깨끗한 양식. 우리 팀 실제 내용으로 채우면 됩니다.</t>
        </is>
      </c>
    </row>
    <row r="11" ht="26" customHeight="1">
      <c r="B11" s="3" t="inlineStr">
        <is>
          <t>작성 순서 (3단계)</t>
        </is>
      </c>
    </row>
    <row r="12" ht="20" customHeight="1">
      <c r="B12" s="4" t="inlineStr">
        <is>
          <t>1단계  '빈 템플릿' 또는 '① 업무마스터'에 팀의 모든 업무를 한 줄씩 적습니다. (먼저 떠오르는 대로, 빠짐없이)</t>
        </is>
      </c>
    </row>
    <row r="13" ht="20" customHeight="1">
      <c r="B13" s="4" t="inlineStr">
        <is>
          <t>2단계  각 업무의 '회당 소요시간'과 '주기'를 입력 → '월 환산 시간'이 자동 계산됩니다. '수시' 업무는 '월 발생횟수(직접)'에 한 달 평균 횟수 입력.</t>
        </is>
      </c>
    </row>
    <row r="14" ht="20" customHeight="1">
      <c r="B14" s="4" t="inlineStr">
        <is>
          <t>3단계  '주담당/백업담당/대체난이도/자동화/우선순위'를 드롭다운에서 선택. → ②·③ 시트는 자동으로 채워집니다.</t>
        </is>
      </c>
    </row>
    <row r="16" ht="26" customHeight="1">
      <c r="B16" s="3" t="inlineStr">
        <is>
          <t>각 항목의 의미</t>
        </is>
      </c>
    </row>
    <row r="17" ht="20" customHeight="1">
      <c r="B17" s="4" t="inlineStr">
        <is>
          <t>• 주담당 / 백업담당 : 평소 담당자와, 부재·과부하 시 대신할 사람. (백업이 비어있으면 그 업무는 '버스 팩터' 위험!)</t>
        </is>
      </c>
    </row>
    <row r="18" ht="20" customHeight="1">
      <c r="B18" s="4" t="inlineStr">
        <is>
          <t>• 주기 : 매일·주간·격주·월간·분기 등. 월 발생횟수로 환산되어 업무량 계산의 기준이 됩니다.</t>
        </is>
      </c>
    </row>
    <row r="19" ht="20" customHeight="1">
      <c r="B19" s="4" t="inlineStr">
        <is>
          <t>• 대체 난이도 : '낮음=누구나' / '중간=인수인계 필요' / '높음=전담 필수'. 긴급 이관 가능성을 가늠하는 핵심 지표.</t>
        </is>
      </c>
    </row>
    <row r="20" ht="20" customHeight="1">
      <c r="B20" s="4" t="inlineStr">
        <is>
          <t>• 자동화 가능성 : '가능/일부/불가'. 구조적으로 업무량을 줄일 후보를 찾는 데 사용.</t>
        </is>
      </c>
    </row>
    <row r="21" ht="20" customHeight="1">
      <c r="B21" s="4" t="inlineStr">
        <is>
          <t>• 우선순위 : 상/중/하. 여력이 부족할 때 무엇을 먼저 지킬지 판단.</t>
        </is>
      </c>
    </row>
    <row r="23" ht="26" customHeight="1">
      <c r="B23" s="3" t="inlineStr">
        <is>
          <t>부하율 읽는 법</t>
        </is>
      </c>
    </row>
    <row r="24" ht="20" customHeight="1">
      <c r="B24" s="4" t="inlineStr">
        <is>
          <t>부하율 = 월 투입시간 ÷ 월 가용시간(주32h×4.33).   70% 이상 = ⚠ 과부하 / 40~70% = 적정 / 40% 미만 = 🟢 여유</t>
        </is>
      </c>
    </row>
    <row r="25" ht="20" customHeight="1">
      <c r="B25" s="4" t="inlineStr">
        <is>
          <t>※ '정기적으로 추적되는 업무'만 합산한 값입니다. 나머지 시간은 회의·소통·돌발업무·집중작업의 몫이며, 그 자체가 긴급 업무를 받을 '여력'입니다.</t>
        </is>
      </c>
    </row>
    <row r="26" ht="20" customHeight="1">
      <c r="B26" s="4" t="inlineStr">
        <is>
          <t>※ 가용시간 기준(주당 32h)은 '② 팀원별 부하' 시트의 '주당 가용(h)' 칸에서 사람마다 조정할 수 있습니다.</t>
        </is>
      </c>
    </row>
    <row r="28">
      <c r="B28" s="5" t="inlineStr">
        <is>
          <t>문의·수정 필요 시 언제든 말씀해 주세요. 컬럼 추가/삭제, 부서별 분리, 구글시트 변환 모두 가능합니다.</t>
        </is>
      </c>
    </row>
  </sheetData>
  <mergeCells count="22">
    <mergeCell ref="B7:F7"/>
    <mergeCell ref="B16:F16"/>
    <mergeCell ref="B25:F25"/>
    <mergeCell ref="B3:F3"/>
    <mergeCell ref="B18:F18"/>
    <mergeCell ref="B21:F21"/>
    <mergeCell ref="B12:F12"/>
    <mergeCell ref="B2:F2"/>
    <mergeCell ref="B11:F11"/>
    <mergeCell ref="B23:F23"/>
    <mergeCell ref="B14:F14"/>
    <mergeCell ref="B8:F8"/>
    <mergeCell ref="B17:F17"/>
    <mergeCell ref="B13:F13"/>
    <mergeCell ref="B28:F28"/>
    <mergeCell ref="B19:F19"/>
    <mergeCell ref="B9:F9"/>
    <mergeCell ref="B6:F6"/>
    <mergeCell ref="B24:F24"/>
    <mergeCell ref="B20:F20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O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34" customWidth="1" min="4" max="4"/>
    <col width="16" customWidth="1" min="5" max="5"/>
    <col width="16" customWidth="1" min="6" max="6"/>
    <col width="12" customWidth="1" min="7" max="7"/>
    <col width="11" customWidth="1" min="8" max="8"/>
    <col width="12" customWidth="1" min="9" max="9"/>
    <col width="11" customWidth="1" min="10" max="10"/>
    <col width="24" customWidth="1" min="11" max="11"/>
    <col width="16" customWidth="1" min="12" max="12"/>
    <col width="11" customWidth="1" min="13" max="13"/>
    <col width="7" customWidth="1" min="14" max="14"/>
    <col width="22" customWidth="1" min="15" max="15"/>
  </cols>
  <sheetData>
    <row r="1" ht="34" customHeight="1">
      <c r="A1" s="6" t="inlineStr">
        <is>
          <t>① 업무 마스터  ·  R&amp;R 정의표  (샘플 데이터)</t>
        </is>
      </c>
    </row>
    <row r="2" ht="30" customHeight="1">
      <c r="A2" s="7" t="inlineStr">
        <is>
          <t>입력 가이드  |  ① 회당 소요시간 + 주기만 넣으면 '월 환산 시간'이 자동 계산됩니다.  ② '수시' 업무는 '월 발생횟수(직접)' 칸에 한 달 평균 횟수를 직접 입력하세요.  ③ 주담당/백업담당/분류 등은 셀 클릭 시 드롭다운에서 선택.</t>
        </is>
      </c>
    </row>
    <row r="3" ht="34" customHeight="1">
      <c r="A3" s="8" t="inlineStr">
        <is>
          <t>No</t>
        </is>
      </c>
      <c r="B3" s="8" t="inlineStr">
        <is>
          <t>업무명</t>
        </is>
      </c>
      <c r="C3" s="8" t="inlineStr">
        <is>
          <t>업무분류</t>
        </is>
      </c>
      <c r="D3" s="8" t="inlineStr">
        <is>
          <t>업무 설명</t>
        </is>
      </c>
      <c r="E3" s="8" t="inlineStr">
        <is>
          <t>주담당</t>
        </is>
      </c>
      <c r="F3" s="8" t="inlineStr">
        <is>
          <t>백업담당</t>
        </is>
      </c>
      <c r="G3" s="8" t="inlineStr">
        <is>
          <t>주기</t>
        </is>
      </c>
      <c r="H3" s="8" t="inlineStr">
        <is>
          <t>회당
소요시간(h)</t>
        </is>
      </c>
      <c r="I3" s="8" t="inlineStr">
        <is>
          <t>월 발생횟수
(직접·수시용)</t>
        </is>
      </c>
      <c r="J3" s="8" t="inlineStr">
        <is>
          <t>월 환산
시간(h)</t>
        </is>
      </c>
      <c r="K3" s="8" t="inlineStr">
        <is>
          <t>필요 역량/스킬</t>
        </is>
      </c>
      <c r="L3" s="8" t="inlineStr">
        <is>
          <t>대체 난이도</t>
        </is>
      </c>
      <c r="M3" s="8" t="inlineStr">
        <is>
          <t>자동화
가능성</t>
        </is>
      </c>
      <c r="N3" s="8" t="inlineStr">
        <is>
          <t>우선
순위</t>
        </is>
      </c>
      <c r="O3" s="8" t="inlineStr">
        <is>
          <t>비고</t>
        </is>
      </c>
    </row>
    <row r="4">
      <c r="A4" s="9">
        <f>IF($B4="","",ROW()-3)</f>
        <v/>
      </c>
      <c r="B4" s="10" t="inlineStr">
        <is>
          <t>주간 팀 회의 준비·진행</t>
        </is>
      </c>
      <c r="C4" s="10" t="inlineStr">
        <is>
          <t>운영</t>
        </is>
      </c>
      <c r="D4" s="10" t="inlineStr">
        <is>
          <t>아젠다 취합, 회의록 작성·공유</t>
        </is>
      </c>
      <c r="E4" s="10" t="inlineStr">
        <is>
          <t>김지원(팀장/PM)</t>
        </is>
      </c>
      <c r="F4" s="10" t="inlineStr">
        <is>
          <t>이서연(서비스기획)</t>
        </is>
      </c>
      <c r="G4" s="9" t="inlineStr">
        <is>
          <t>주간(주1회)</t>
        </is>
      </c>
      <c r="H4" s="11" t="n">
        <v>1.5</v>
      </c>
      <c r="I4" s="11" t="n"/>
      <c r="J4" s="11">
        <f>IF($B4="","",$H4*IF($I4&lt;&gt;"",$I4,IFERROR(VLOOKUP($G4,주기표,2,FALSE),0)))</f>
        <v/>
      </c>
      <c r="K4" s="10" t="inlineStr">
        <is>
          <t>퍼실리테이션, 문서화</t>
        </is>
      </c>
      <c r="L4" s="10" t="inlineStr">
        <is>
          <t>낮음(누구나 가능)</t>
        </is>
      </c>
      <c r="M4" s="9" t="inlineStr">
        <is>
          <t>일부 가능</t>
        </is>
      </c>
      <c r="N4" s="9" t="inlineStr">
        <is>
          <t>중</t>
        </is>
      </c>
      <c r="O4" s="10" t="inlineStr">
        <is>
          <t>회의록 템플릿화로 단축 여지</t>
        </is>
      </c>
    </row>
    <row r="5">
      <c r="A5" s="12">
        <f>IF($B5="","",ROW()-3)</f>
        <v/>
      </c>
      <c r="B5" s="13" t="inlineStr">
        <is>
          <t>월간 사업보고서 작성</t>
        </is>
      </c>
      <c r="C5" s="13" t="inlineStr">
        <is>
          <t>기획</t>
        </is>
      </c>
      <c r="D5" s="13" t="inlineStr">
        <is>
          <t>실적·지표 종합, 경영진 보고자료 작성</t>
        </is>
      </c>
      <c r="E5" s="13" t="inlineStr">
        <is>
          <t>김지원(팀장/PM)</t>
        </is>
      </c>
      <c r="F5" s="13" t="inlineStr">
        <is>
          <t>최유나(데이터/지표)</t>
        </is>
      </c>
      <c r="G5" s="12" t="inlineStr">
        <is>
          <t>월간</t>
        </is>
      </c>
      <c r="H5" s="14" t="n">
        <v>6</v>
      </c>
      <c r="I5" s="14" t="n"/>
      <c r="J5" s="14">
        <f>IF($B5="","",$H5*IF($I5&lt;&gt;"",$I5,IFERROR(VLOOKUP($G5,주기표,2,FALSE),0)))</f>
        <v/>
      </c>
      <c r="K5" s="13" t="inlineStr">
        <is>
          <t>데이터 해석, 스토리텔링</t>
        </is>
      </c>
      <c r="L5" s="13" t="inlineStr">
        <is>
          <t>높음(전담 필수)</t>
        </is>
      </c>
      <c r="M5" s="12" t="inlineStr">
        <is>
          <t>일부 가능</t>
        </is>
      </c>
      <c r="N5" s="12" t="inlineStr">
        <is>
          <t>상</t>
        </is>
      </c>
      <c r="O5" s="13" t="inlineStr">
        <is>
          <t>지표는 최유나 협조</t>
        </is>
      </c>
    </row>
    <row r="6">
      <c r="A6" s="9">
        <f>IF($B6="","",ROW()-3)</f>
        <v/>
      </c>
      <c r="B6" s="10" t="inlineStr">
        <is>
          <t>분기 OKR 수립·리뷰</t>
        </is>
      </c>
      <c r="C6" s="10" t="inlineStr">
        <is>
          <t>기획</t>
        </is>
      </c>
      <c r="D6" s="10" t="inlineStr">
        <is>
          <t>목표 설정, 핵심지표 정의, 회고</t>
        </is>
      </c>
      <c r="E6" s="10" t="inlineStr">
        <is>
          <t>김지원(팀장/PM)</t>
        </is>
      </c>
      <c r="F6" s="10" t="inlineStr">
        <is>
          <t>이서연(서비스기획)</t>
        </is>
      </c>
      <c r="G6" s="9" t="inlineStr">
        <is>
          <t>분기</t>
        </is>
      </c>
      <c r="H6" s="11" t="n">
        <v>8</v>
      </c>
      <c r="I6" s="11" t="n"/>
      <c r="J6" s="11">
        <f>IF($B6="","",$H6*IF($I6&lt;&gt;"",$I6,IFERROR(VLOOKUP($G6,주기표,2,FALSE),0)))</f>
        <v/>
      </c>
      <c r="K6" s="10" t="inlineStr">
        <is>
          <t>전략기획</t>
        </is>
      </c>
      <c r="L6" s="10" t="inlineStr">
        <is>
          <t>높음(전담 필수)</t>
        </is>
      </c>
      <c r="M6" s="9" t="inlineStr">
        <is>
          <t>불가</t>
        </is>
      </c>
      <c r="N6" s="9" t="inlineStr">
        <is>
          <t>상</t>
        </is>
      </c>
      <c r="O6" s="10" t="inlineStr"/>
    </row>
    <row r="7">
      <c r="A7" s="12">
        <f>IF($B7="","",ROW()-3)</f>
        <v/>
      </c>
      <c r="B7" s="13" t="inlineStr">
        <is>
          <t>유관부서 협업 미팅</t>
        </is>
      </c>
      <c r="C7" s="13" t="inlineStr">
        <is>
          <t>유관협업</t>
        </is>
      </c>
      <c r="D7" s="13" t="inlineStr">
        <is>
          <t>개발·디자인·마케팅 정례 싱크</t>
        </is>
      </c>
      <c r="E7" s="13" t="inlineStr">
        <is>
          <t>김지원(팀장/PM)</t>
        </is>
      </c>
      <c r="F7" s="13" t="inlineStr">
        <is>
          <t>박민준(운영매니저)</t>
        </is>
      </c>
      <c r="G7" s="12" t="inlineStr">
        <is>
          <t>주간(주1회)</t>
        </is>
      </c>
      <c r="H7" s="14" t="n">
        <v>2</v>
      </c>
      <c r="I7" s="14" t="n"/>
      <c r="J7" s="14">
        <f>IF($B7="","",$H7*IF($I7&lt;&gt;"",$I7,IFERROR(VLOOKUP($G7,주기표,2,FALSE),0)))</f>
        <v/>
      </c>
      <c r="K7" s="13" t="inlineStr">
        <is>
          <t>커뮤니케이션, 조율</t>
        </is>
      </c>
      <c r="L7" s="13" t="inlineStr">
        <is>
          <t>중간(인수인계 필요)</t>
        </is>
      </c>
      <c r="M7" s="12" t="inlineStr">
        <is>
          <t>불가</t>
        </is>
      </c>
      <c r="N7" s="12" t="inlineStr">
        <is>
          <t>중</t>
        </is>
      </c>
      <c r="O7" s="13" t="inlineStr"/>
    </row>
    <row r="8">
      <c r="A8" s="9">
        <f>IF($B8="","",ROW()-3)</f>
        <v/>
      </c>
      <c r="B8" s="10" t="inlineStr">
        <is>
          <t>서비스 기능 기획서 작성</t>
        </is>
      </c>
      <c r="C8" s="10" t="inlineStr">
        <is>
          <t>기획</t>
        </is>
      </c>
      <c r="D8" s="10" t="inlineStr">
        <is>
          <t>요구사항 정의, 기획서·스펙 문서화</t>
        </is>
      </c>
      <c r="E8" s="10" t="inlineStr">
        <is>
          <t>이서연(서비스기획)</t>
        </is>
      </c>
      <c r="F8" s="10" t="inlineStr">
        <is>
          <t>김지원(팀장/PM)</t>
        </is>
      </c>
      <c r="G8" s="9" t="inlineStr">
        <is>
          <t>격주</t>
        </is>
      </c>
      <c r="H8" s="11" t="n">
        <v>8</v>
      </c>
      <c r="I8" s="11" t="n"/>
      <c r="J8" s="11">
        <f>IF($B8="","",$H8*IF($I8&lt;&gt;"",$I8,IFERROR(VLOOKUP($G8,주기표,2,FALSE),0)))</f>
        <v/>
      </c>
      <c r="K8" s="10" t="inlineStr">
        <is>
          <t>서비스기획, UX</t>
        </is>
      </c>
      <c r="L8" s="10" t="inlineStr">
        <is>
          <t>높음(전담 필수)</t>
        </is>
      </c>
      <c r="M8" s="9" t="inlineStr">
        <is>
          <t>불가</t>
        </is>
      </c>
      <c r="N8" s="9" t="inlineStr">
        <is>
          <t>상</t>
        </is>
      </c>
      <c r="O8" s="10" t="inlineStr"/>
    </row>
    <row r="9">
      <c r="A9" s="12">
        <f>IF($B9="","",ROW()-3)</f>
        <v/>
      </c>
      <c r="B9" s="13" t="inlineStr">
        <is>
          <t>사용자 피드백 정리·분석</t>
        </is>
      </c>
      <c r="C9" s="13" t="inlineStr">
        <is>
          <t>기획</t>
        </is>
      </c>
      <c r="D9" s="13" t="inlineStr">
        <is>
          <t>VOC·설문 취합, 인사이트 도출</t>
        </is>
      </c>
      <c r="E9" s="13" t="inlineStr">
        <is>
          <t>이서연(서비스기획)</t>
        </is>
      </c>
      <c r="F9" s="13" t="inlineStr">
        <is>
          <t>박민준(운영매니저)</t>
        </is>
      </c>
      <c r="G9" s="12" t="inlineStr">
        <is>
          <t>주간(주1회)</t>
        </is>
      </c>
      <c r="H9" s="14" t="n">
        <v>3</v>
      </c>
      <c r="I9" s="14" t="n"/>
      <c r="J9" s="14">
        <f>IF($B9="","",$H9*IF($I9&lt;&gt;"",$I9,IFERROR(VLOOKUP($G9,주기표,2,FALSE),0)))</f>
        <v/>
      </c>
      <c r="K9" s="13" t="inlineStr">
        <is>
          <t>리서치, 정성분석</t>
        </is>
      </c>
      <c r="L9" s="13" t="inlineStr">
        <is>
          <t>중간(인수인계 필요)</t>
        </is>
      </c>
      <c r="M9" s="12" t="inlineStr">
        <is>
          <t>일부 가능</t>
        </is>
      </c>
      <c r="N9" s="12" t="inlineStr">
        <is>
          <t>중</t>
        </is>
      </c>
      <c r="O9" s="13" t="inlineStr"/>
    </row>
    <row r="10">
      <c r="A10" s="9">
        <f>IF($B10="","",ROW()-3)</f>
        <v/>
      </c>
      <c r="B10" s="10" t="inlineStr">
        <is>
          <t>화면 정책·플로우 정의</t>
        </is>
      </c>
      <c r="C10" s="10" t="inlineStr">
        <is>
          <t>기획</t>
        </is>
      </c>
      <c r="D10" s="10" t="inlineStr">
        <is>
          <t>정책 정의, 화면 플로우/예외처리 정리</t>
        </is>
      </c>
      <c r="E10" s="10" t="inlineStr">
        <is>
          <t>이서연(서비스기획)</t>
        </is>
      </c>
      <c r="F10" s="10" t="inlineStr">
        <is>
          <t>정현우(QA/지원)</t>
        </is>
      </c>
      <c r="G10" s="9" t="inlineStr">
        <is>
          <t>격주</t>
        </is>
      </c>
      <c r="H10" s="11" t="n">
        <v>5</v>
      </c>
      <c r="I10" s="11" t="n"/>
      <c r="J10" s="11">
        <f>IF($B10="","",$H10*IF($I10&lt;&gt;"",$I10,IFERROR(VLOOKUP($G10,주기표,2,FALSE),0)))</f>
        <v/>
      </c>
      <c r="K10" s="10" t="inlineStr">
        <is>
          <t>기획, 논리설계</t>
        </is>
      </c>
      <c r="L10" s="10" t="inlineStr">
        <is>
          <t>높음(전담 필수)</t>
        </is>
      </c>
      <c r="M10" s="9" t="inlineStr">
        <is>
          <t>불가</t>
        </is>
      </c>
      <c r="N10" s="9" t="inlineStr">
        <is>
          <t>중</t>
        </is>
      </c>
      <c r="O10" s="10" t="inlineStr"/>
    </row>
    <row r="11">
      <c r="A11" s="12">
        <f>IF($B11="","",ROW()-3)</f>
        <v/>
      </c>
      <c r="B11" s="13" t="inlineStr">
        <is>
          <t>릴리즈 노트 작성</t>
        </is>
      </c>
      <c r="C11" s="13" t="inlineStr">
        <is>
          <t>운영</t>
        </is>
      </c>
      <c r="D11" s="13" t="inlineStr">
        <is>
          <t>배포 내역 정리, 사내 공지</t>
        </is>
      </c>
      <c r="E11" s="13" t="inlineStr">
        <is>
          <t>이서연(서비스기획)</t>
        </is>
      </c>
      <c r="F11" s="13" t="inlineStr">
        <is>
          <t>정현우(QA/지원)</t>
        </is>
      </c>
      <c r="G11" s="12" t="inlineStr">
        <is>
          <t>월간</t>
        </is>
      </c>
      <c r="H11" s="14" t="n">
        <v>2</v>
      </c>
      <c r="I11" s="14" t="n"/>
      <c r="J11" s="14">
        <f>IF($B11="","",$H11*IF($I11&lt;&gt;"",$I11,IFERROR(VLOOKUP($G11,주기표,2,FALSE),0)))</f>
        <v/>
      </c>
      <c r="K11" s="13" t="inlineStr">
        <is>
          <t>문서화</t>
        </is>
      </c>
      <c r="L11" s="13" t="inlineStr">
        <is>
          <t>낮음(누구나 가능)</t>
        </is>
      </c>
      <c r="M11" s="12" t="inlineStr">
        <is>
          <t>가능</t>
        </is>
      </c>
      <c r="N11" s="12" t="inlineStr">
        <is>
          <t>하</t>
        </is>
      </c>
      <c r="O11" s="13" t="inlineStr">
        <is>
          <t>자동화 1순위 후보</t>
        </is>
      </c>
    </row>
    <row r="12">
      <c r="A12" s="9">
        <f>IF($B12="","",ROW()-3)</f>
        <v/>
      </c>
      <c r="B12" s="10" t="inlineStr">
        <is>
          <t>일일 운영 모니터링</t>
        </is>
      </c>
      <c r="C12" s="10" t="inlineStr">
        <is>
          <t>운영</t>
        </is>
      </c>
      <c r="D12" s="10" t="inlineStr">
        <is>
          <t>대시보드·알람 점검, 이상징후 확인</t>
        </is>
      </c>
      <c r="E12" s="10" t="inlineStr">
        <is>
          <t>박민준(운영매니저)</t>
        </is>
      </c>
      <c r="F12" s="10" t="inlineStr">
        <is>
          <t>최유나(데이터/지표)</t>
        </is>
      </c>
      <c r="G12" s="9" t="inlineStr">
        <is>
          <t>매일</t>
        </is>
      </c>
      <c r="H12" s="11" t="n">
        <v>0.5</v>
      </c>
      <c r="I12" s="11" t="n"/>
      <c r="J12" s="11">
        <f>IF($B12="","",$H12*IF($I12&lt;&gt;"",$I12,IFERROR(VLOOKUP($G12,주기표,2,FALSE),0)))</f>
        <v/>
      </c>
      <c r="K12" s="10" t="inlineStr">
        <is>
          <t>운영, 모니터링</t>
        </is>
      </c>
      <c r="L12" s="10" t="inlineStr">
        <is>
          <t>중간(인수인계 필요)</t>
        </is>
      </c>
      <c r="M12" s="9" t="inlineStr">
        <is>
          <t>일부 가능</t>
        </is>
      </c>
      <c r="N12" s="9" t="inlineStr">
        <is>
          <t>상</t>
        </is>
      </c>
      <c r="O12" s="10" t="inlineStr"/>
    </row>
    <row r="13">
      <c r="A13" s="12">
        <f>IF($B13="","",ROW()-3)</f>
        <v/>
      </c>
      <c r="B13" s="13" t="inlineStr">
        <is>
          <t>CS 이슈 대응·에스컬레이션</t>
        </is>
      </c>
      <c r="C13" s="13" t="inlineStr">
        <is>
          <t>운영</t>
        </is>
      </c>
      <c r="D13" s="13" t="inlineStr">
        <is>
          <t>문의 분류, 처리·유관부서 전달</t>
        </is>
      </c>
      <c r="E13" s="13" t="inlineStr">
        <is>
          <t>박민준(운영매니저)</t>
        </is>
      </c>
      <c r="F13" s="13" t="inlineStr">
        <is>
          <t>정현우(QA/지원)</t>
        </is>
      </c>
      <c r="G13" s="12" t="inlineStr">
        <is>
          <t>매일</t>
        </is>
      </c>
      <c r="H13" s="14" t="n">
        <v>1</v>
      </c>
      <c r="I13" s="14" t="n"/>
      <c r="J13" s="14">
        <f>IF($B13="","",$H13*IF($I13&lt;&gt;"",$I13,IFERROR(VLOOKUP($G13,주기표,2,FALSE),0)))</f>
        <v/>
      </c>
      <c r="K13" s="13" t="inlineStr">
        <is>
          <t>CS, 문제해결</t>
        </is>
      </c>
      <c r="L13" s="13" t="inlineStr">
        <is>
          <t>중간(인수인계 필요)</t>
        </is>
      </c>
      <c r="M13" s="12" t="inlineStr">
        <is>
          <t>불가</t>
        </is>
      </c>
      <c r="N13" s="12" t="inlineStr">
        <is>
          <t>상</t>
        </is>
      </c>
      <c r="O13" s="13" t="inlineStr">
        <is>
          <t>피크시 변동 큼</t>
        </is>
      </c>
    </row>
    <row r="14">
      <c r="A14" s="9">
        <f>IF($B14="","",ROW()-3)</f>
        <v/>
      </c>
      <c r="B14" s="10" t="inlineStr">
        <is>
          <t>운영 프로세스 문서 업데이트</t>
        </is>
      </c>
      <c r="C14" s="10" t="inlineStr">
        <is>
          <t>관리/지원</t>
        </is>
      </c>
      <c r="D14" s="10" t="inlineStr">
        <is>
          <t>매뉴얼·플레이북 현행화</t>
        </is>
      </c>
      <c r="E14" s="10" t="inlineStr">
        <is>
          <t>박민준(운영매니저)</t>
        </is>
      </c>
      <c r="F14" s="10" t="inlineStr">
        <is>
          <t>이서연(서비스기획)</t>
        </is>
      </c>
      <c r="G14" s="9" t="inlineStr">
        <is>
          <t>월간</t>
        </is>
      </c>
      <c r="H14" s="11" t="n">
        <v>3</v>
      </c>
      <c r="I14" s="11" t="n"/>
      <c r="J14" s="11">
        <f>IF($B14="","",$H14*IF($I14&lt;&gt;"",$I14,IFERROR(VLOOKUP($G14,주기표,2,FALSE),0)))</f>
        <v/>
      </c>
      <c r="K14" s="10" t="inlineStr">
        <is>
          <t>문서화, 프로세스설계</t>
        </is>
      </c>
      <c r="L14" s="10" t="inlineStr">
        <is>
          <t>낮음(누구나 가능)</t>
        </is>
      </c>
      <c r="M14" s="9" t="inlineStr">
        <is>
          <t>불가</t>
        </is>
      </c>
      <c r="N14" s="9" t="inlineStr">
        <is>
          <t>하</t>
        </is>
      </c>
      <c r="O14" s="10" t="inlineStr"/>
    </row>
    <row r="15">
      <c r="A15" s="12">
        <f>IF($B15="","",ROW()-3)</f>
        <v/>
      </c>
      <c r="B15" s="13" t="inlineStr">
        <is>
          <t>외부 벤더 커뮤니케이션</t>
        </is>
      </c>
      <c r="C15" s="13" t="inlineStr">
        <is>
          <t>유관협업</t>
        </is>
      </c>
      <c r="D15" s="13" t="inlineStr">
        <is>
          <t>제휴사·외주 일정·이슈 조율</t>
        </is>
      </c>
      <c r="E15" s="13" t="inlineStr">
        <is>
          <t>박민준(운영매니저)</t>
        </is>
      </c>
      <c r="F15" s="13" t="inlineStr">
        <is>
          <t>김지원(팀장/PM)</t>
        </is>
      </c>
      <c r="G15" s="12" t="inlineStr">
        <is>
          <t>주간(주1회)</t>
        </is>
      </c>
      <c r="H15" s="14" t="n">
        <v>1.5</v>
      </c>
      <c r="I15" s="14" t="n"/>
      <c r="J15" s="14">
        <f>IF($B15="","",$H15*IF($I15&lt;&gt;"",$I15,IFERROR(VLOOKUP($G15,주기표,2,FALSE),0)))</f>
        <v/>
      </c>
      <c r="K15" s="13" t="inlineStr">
        <is>
          <t>협상, 커뮤니케이션</t>
        </is>
      </c>
      <c r="L15" s="13" t="inlineStr">
        <is>
          <t>중간(인수인계 필요)</t>
        </is>
      </c>
      <c r="M15" s="12" t="inlineStr">
        <is>
          <t>불가</t>
        </is>
      </c>
      <c r="N15" s="12" t="inlineStr">
        <is>
          <t>중</t>
        </is>
      </c>
      <c r="O15" s="13" t="inlineStr"/>
    </row>
    <row r="16">
      <c r="A16" s="9">
        <f>IF($B16="","",ROW()-3)</f>
        <v/>
      </c>
      <c r="B16" s="10" t="inlineStr">
        <is>
          <t>주간 지표 대시보드 업데이트</t>
        </is>
      </c>
      <c r="C16" s="10" t="inlineStr">
        <is>
          <t>데이터/지표</t>
        </is>
      </c>
      <c r="D16" s="10" t="inlineStr">
        <is>
          <t>핵심지표 집계·갱신, 코멘트</t>
        </is>
      </c>
      <c r="E16" s="10" t="inlineStr">
        <is>
          <t>최유나(데이터/지표)</t>
        </is>
      </c>
      <c r="F16" s="10" t="inlineStr">
        <is>
          <t>박민준(운영매니저)</t>
        </is>
      </c>
      <c r="G16" s="9" t="inlineStr">
        <is>
          <t>주간(주1회)</t>
        </is>
      </c>
      <c r="H16" s="11" t="n">
        <v>2</v>
      </c>
      <c r="I16" s="11" t="n"/>
      <c r="J16" s="11">
        <f>IF($B16="","",$H16*IF($I16&lt;&gt;"",$I16,IFERROR(VLOOKUP($G16,주기표,2,FALSE),0)))</f>
        <v/>
      </c>
      <c r="K16" s="10" t="inlineStr">
        <is>
          <t>SQL, 데이터시각화</t>
        </is>
      </c>
      <c r="L16" s="10" t="inlineStr">
        <is>
          <t>중간(인수인계 필요)</t>
        </is>
      </c>
      <c r="M16" s="9" t="inlineStr">
        <is>
          <t>가능</t>
        </is>
      </c>
      <c r="N16" s="9" t="inlineStr">
        <is>
          <t>중</t>
        </is>
      </c>
      <c r="O16" s="10" t="inlineStr">
        <is>
          <t>쿼리 자동화 가능</t>
        </is>
      </c>
    </row>
    <row r="17">
      <c r="A17" s="12">
        <f>IF($B17="","",ROW()-3)</f>
        <v/>
      </c>
      <c r="B17" s="13" t="inlineStr">
        <is>
          <t>월간 성과 데이터 분석 리포트</t>
        </is>
      </c>
      <c r="C17" s="13" t="inlineStr">
        <is>
          <t>데이터/지표</t>
        </is>
      </c>
      <c r="D17" s="13" t="inlineStr">
        <is>
          <t>성과 심층분석, 개선 제언</t>
        </is>
      </c>
      <c r="E17" s="13" t="inlineStr">
        <is>
          <t>최유나(데이터/지표)</t>
        </is>
      </c>
      <c r="F17" s="13" t="inlineStr">
        <is>
          <t>김지원(팀장/PM)</t>
        </is>
      </c>
      <c r="G17" s="12" t="inlineStr">
        <is>
          <t>월간</t>
        </is>
      </c>
      <c r="H17" s="14" t="n">
        <v>8</v>
      </c>
      <c r="I17" s="14" t="n"/>
      <c r="J17" s="14">
        <f>IF($B17="","",$H17*IF($I17&lt;&gt;"",$I17,IFERROR(VLOOKUP($G17,주기표,2,FALSE),0)))</f>
        <v/>
      </c>
      <c r="K17" s="13" t="inlineStr">
        <is>
          <t>데이터분석, 통계</t>
        </is>
      </c>
      <c r="L17" s="13" t="inlineStr">
        <is>
          <t>높음(전담 필수)</t>
        </is>
      </c>
      <c r="M17" s="12" t="inlineStr">
        <is>
          <t>일부 가능</t>
        </is>
      </c>
      <c r="N17" s="12" t="inlineStr">
        <is>
          <t>상</t>
        </is>
      </c>
      <c r="O17" s="13" t="inlineStr"/>
    </row>
    <row r="18">
      <c r="A18" s="9">
        <f>IF($B18="","",ROW()-3)</f>
        <v/>
      </c>
      <c r="B18" s="10" t="inlineStr">
        <is>
          <t>A/B 테스트 설계·분석</t>
        </is>
      </c>
      <c r="C18" s="10" t="inlineStr">
        <is>
          <t>데이터/지표</t>
        </is>
      </c>
      <c r="D18" s="10" t="inlineStr">
        <is>
          <t>실험 설계, 결과 해석·의사결정 지원</t>
        </is>
      </c>
      <c r="E18" s="10" t="inlineStr">
        <is>
          <t>최유나(데이터/지표)</t>
        </is>
      </c>
      <c r="F18" s="10" t="inlineStr">
        <is>
          <t>이서연(서비스기획)</t>
        </is>
      </c>
      <c r="G18" s="9" t="inlineStr">
        <is>
          <t>격주</t>
        </is>
      </c>
      <c r="H18" s="11" t="n">
        <v>5</v>
      </c>
      <c r="I18" s="11" t="n"/>
      <c r="J18" s="11">
        <f>IF($B18="","",$H18*IF($I18&lt;&gt;"",$I18,IFERROR(VLOOKUP($G18,주기표,2,FALSE),0)))</f>
        <v/>
      </c>
      <c r="K18" s="10" t="inlineStr">
        <is>
          <t>실험설계, 통계</t>
        </is>
      </c>
      <c r="L18" s="10" t="inlineStr">
        <is>
          <t>높음(전담 필수)</t>
        </is>
      </c>
      <c r="M18" s="9" t="inlineStr">
        <is>
          <t>불가</t>
        </is>
      </c>
      <c r="N18" s="9" t="inlineStr">
        <is>
          <t>중</t>
        </is>
      </c>
      <c r="O18" s="10" t="inlineStr"/>
    </row>
    <row r="19">
      <c r="A19" s="12">
        <f>IF($B19="","",ROW()-3)</f>
        <v/>
      </c>
      <c r="B19" s="13" t="inlineStr">
        <is>
          <t>데이터 추출 Ad-hoc 요청 대응</t>
        </is>
      </c>
      <c r="C19" s="13" t="inlineStr">
        <is>
          <t>데이터/지표</t>
        </is>
      </c>
      <c r="D19" s="13" t="inlineStr">
        <is>
          <t>비정기 데이터 추출·가공 요청 처리</t>
        </is>
      </c>
      <c r="E19" s="13" t="inlineStr">
        <is>
          <t>최유나(데이터/지표)</t>
        </is>
      </c>
      <c r="F19" s="13" t="inlineStr">
        <is>
          <t>박민준(운영매니저)</t>
        </is>
      </c>
      <c r="G19" s="12" t="inlineStr">
        <is>
          <t>수시</t>
        </is>
      </c>
      <c r="H19" s="14" t="n">
        <v>1</v>
      </c>
      <c r="I19" s="14" t="n">
        <v>6</v>
      </c>
      <c r="J19" s="14">
        <f>IF($B19="","",$H19*IF($I19&lt;&gt;"",$I19,IFERROR(VLOOKUP($G19,주기표,2,FALSE),0)))</f>
        <v/>
      </c>
      <c r="K19" s="13" t="inlineStr">
        <is>
          <t>SQL</t>
        </is>
      </c>
      <c r="L19" s="13" t="inlineStr">
        <is>
          <t>중간(인수인계 필요)</t>
        </is>
      </c>
      <c r="M19" s="12" t="inlineStr">
        <is>
          <t>일부 가능</t>
        </is>
      </c>
      <c r="N19" s="12" t="inlineStr">
        <is>
          <t>중</t>
        </is>
      </c>
      <c r="O19" s="13" t="inlineStr">
        <is>
          <t>월 평균 6건 가정(직접입력 예시)</t>
        </is>
      </c>
    </row>
    <row r="20">
      <c r="A20" s="9">
        <f>IF($B20="","",ROW()-3)</f>
        <v/>
      </c>
      <c r="B20" s="10" t="inlineStr">
        <is>
          <t>QA 테스트 케이스 작성</t>
        </is>
      </c>
      <c r="C20" s="10" t="inlineStr">
        <is>
          <t>QA/품질</t>
        </is>
      </c>
      <c r="D20" s="10" t="inlineStr">
        <is>
          <t>기능별 테스트 시나리오 설계</t>
        </is>
      </c>
      <c r="E20" s="10" t="inlineStr">
        <is>
          <t>정현우(QA/지원)</t>
        </is>
      </c>
      <c r="F20" s="10" t="inlineStr">
        <is>
          <t>이서연(서비스기획)</t>
        </is>
      </c>
      <c r="G20" s="9" t="inlineStr">
        <is>
          <t>격주</t>
        </is>
      </c>
      <c r="H20" s="11" t="n">
        <v>4</v>
      </c>
      <c r="I20" s="11" t="n"/>
      <c r="J20" s="11">
        <f>IF($B20="","",$H20*IF($I20&lt;&gt;"",$I20,IFERROR(VLOOKUP($G20,주기표,2,FALSE),0)))</f>
        <v/>
      </c>
      <c r="K20" s="10" t="inlineStr">
        <is>
          <t>QA, 테스트설계</t>
        </is>
      </c>
      <c r="L20" s="10" t="inlineStr">
        <is>
          <t>중간(인수인계 필요)</t>
        </is>
      </c>
      <c r="M20" s="9" t="inlineStr">
        <is>
          <t>일부 가능</t>
        </is>
      </c>
      <c r="N20" s="9" t="inlineStr">
        <is>
          <t>중</t>
        </is>
      </c>
      <c r="O20" s="10" t="inlineStr"/>
    </row>
    <row r="21">
      <c r="A21" s="12">
        <f>IF($B21="","",ROW()-3)</f>
        <v/>
      </c>
      <c r="B21" s="13" t="inlineStr">
        <is>
          <t>배포 전 QA 검증</t>
        </is>
      </c>
      <c r="C21" s="13" t="inlineStr">
        <is>
          <t>QA/품질</t>
        </is>
      </c>
      <c r="D21" s="13" t="inlineStr">
        <is>
          <t>릴리즈 전 회귀·시나리오 검증</t>
        </is>
      </c>
      <c r="E21" s="13" t="inlineStr">
        <is>
          <t>정현우(QA/지원)</t>
        </is>
      </c>
      <c r="F21" s="13" t="inlineStr">
        <is>
          <t>박민준(운영매니저)</t>
        </is>
      </c>
      <c r="G21" s="12" t="inlineStr">
        <is>
          <t>격주</t>
        </is>
      </c>
      <c r="H21" s="14" t="n">
        <v>3</v>
      </c>
      <c r="I21" s="14" t="n"/>
      <c r="J21" s="14">
        <f>IF($B21="","",$H21*IF($I21&lt;&gt;"",$I21,IFERROR(VLOOKUP($G21,주기표,2,FALSE),0)))</f>
        <v/>
      </c>
      <c r="K21" s="13" t="inlineStr">
        <is>
          <t>QA, 꼼꼼함</t>
        </is>
      </c>
      <c r="L21" s="13" t="inlineStr">
        <is>
          <t>중간(인수인계 필요)</t>
        </is>
      </c>
      <c r="M21" s="12" t="inlineStr">
        <is>
          <t>일부 가능</t>
        </is>
      </c>
      <c r="N21" s="12" t="inlineStr">
        <is>
          <t>상</t>
        </is>
      </c>
      <c r="O21" s="13" t="inlineStr">
        <is>
          <t>배포 주기 연동</t>
        </is>
      </c>
    </row>
    <row r="22">
      <c r="A22" s="9">
        <f>IF($B22="","",ROW()-3)</f>
        <v/>
      </c>
      <c r="B22" s="10" t="inlineStr">
        <is>
          <t>버그 트래킹·리포팅</t>
        </is>
      </c>
      <c r="C22" s="10" t="inlineStr">
        <is>
          <t>QA/품질</t>
        </is>
      </c>
      <c r="D22" s="10" t="inlineStr">
        <is>
          <t>이슈 등록·우선순위화, 처리현황 공유</t>
        </is>
      </c>
      <c r="E22" s="10" t="inlineStr">
        <is>
          <t>정현우(QA/지원)</t>
        </is>
      </c>
      <c r="F22" s="10" t="inlineStr">
        <is>
          <t>박민준(운영매니저)</t>
        </is>
      </c>
      <c r="G22" s="9" t="inlineStr">
        <is>
          <t>주간(주1회)</t>
        </is>
      </c>
      <c r="H22" s="11" t="n">
        <v>2</v>
      </c>
      <c r="I22" s="11" t="n"/>
      <c r="J22" s="11">
        <f>IF($B22="","",$H22*IF($I22&lt;&gt;"",$I22,IFERROR(VLOOKUP($G22,주기표,2,FALSE),0)))</f>
        <v/>
      </c>
      <c r="K22" s="10" t="inlineStr">
        <is>
          <t>이슈관리</t>
        </is>
      </c>
      <c r="L22" s="10" t="inlineStr">
        <is>
          <t>낮음(누구나 가능)</t>
        </is>
      </c>
      <c r="M22" s="9" t="inlineStr">
        <is>
          <t>일부 가능</t>
        </is>
      </c>
      <c r="N22" s="9" t="inlineStr">
        <is>
          <t>중</t>
        </is>
      </c>
      <c r="O22" s="10" t="inlineStr"/>
    </row>
    <row r="23">
      <c r="A23" s="12">
        <f>IF($B23="","",ROW()-3)</f>
        <v/>
      </c>
      <c r="B23" s="13" t="inlineStr">
        <is>
          <t>내부 위키·문서 정리</t>
        </is>
      </c>
      <c r="C23" s="13" t="inlineStr">
        <is>
          <t>관리/지원</t>
        </is>
      </c>
      <c r="D23" s="13" t="inlineStr">
        <is>
          <t>팀 지식베이스 구조화·정리</t>
        </is>
      </c>
      <c r="E23" s="13" t="inlineStr">
        <is>
          <t>정현우(QA/지원)</t>
        </is>
      </c>
      <c r="F23" s="13" t="inlineStr">
        <is>
          <t>이서연(서비스기획)</t>
        </is>
      </c>
      <c r="G23" s="12" t="inlineStr">
        <is>
          <t>월간</t>
        </is>
      </c>
      <c r="H23" s="14" t="n">
        <v>3</v>
      </c>
      <c r="I23" s="14" t="n"/>
      <c r="J23" s="14">
        <f>IF($B23="","",$H23*IF($I23&lt;&gt;"",$I23,IFERROR(VLOOKUP($G23,주기표,2,FALSE),0)))</f>
        <v/>
      </c>
      <c r="K23" s="13" t="inlineStr">
        <is>
          <t>문서화, 정리</t>
        </is>
      </c>
      <c r="L23" s="13" t="inlineStr">
        <is>
          <t>낮음(누구나 가능)</t>
        </is>
      </c>
      <c r="M23" s="12" t="inlineStr">
        <is>
          <t>불가</t>
        </is>
      </c>
      <c r="N23" s="12" t="inlineStr">
        <is>
          <t>하</t>
        </is>
      </c>
      <c r="O23" s="13" t="inlineStr"/>
    </row>
    <row r="24">
      <c r="A24" s="9">
        <f>IF($B24="","",ROW()-3)</f>
        <v/>
      </c>
      <c r="B24" s="10" t="inlineStr">
        <is>
          <t>경영진 주간 실적 보고</t>
        </is>
      </c>
      <c r="C24" s="10" t="inlineStr">
        <is>
          <t>기획</t>
        </is>
      </c>
      <c r="D24" s="10" t="inlineStr">
        <is>
          <t>주요 지표·이슈 요약 보고</t>
        </is>
      </c>
      <c r="E24" s="10" t="inlineStr">
        <is>
          <t>김지원(팀장/PM)</t>
        </is>
      </c>
      <c r="F24" s="10" t="inlineStr">
        <is>
          <t>최유나(데이터/지표)</t>
        </is>
      </c>
      <c r="G24" s="9" t="inlineStr">
        <is>
          <t>주간(주1회)</t>
        </is>
      </c>
      <c r="H24" s="11" t="n">
        <v>2</v>
      </c>
      <c r="I24" s="11" t="n"/>
      <c r="J24" s="11">
        <f>IF($B24="","",$H24*IF($I24&lt;&gt;"",$I24,IFERROR(VLOOKUP($G24,주기표,2,FALSE),0)))</f>
        <v/>
      </c>
      <c r="K24" s="10" t="inlineStr">
        <is>
          <t>요약, 보고</t>
        </is>
      </c>
      <c r="L24" s="10" t="inlineStr">
        <is>
          <t>중간(인수인계 필요)</t>
        </is>
      </c>
      <c r="M24" s="9" t="inlineStr">
        <is>
          <t>일부 가능</t>
        </is>
      </c>
      <c r="N24" s="9" t="inlineStr">
        <is>
          <t>상</t>
        </is>
      </c>
      <c r="O24" s="10" t="inlineStr"/>
    </row>
    <row r="25">
      <c r="A25" s="12">
        <f>IF($B25="","",ROW()-3)</f>
        <v/>
      </c>
      <c r="B25" s="13" t="inlineStr">
        <is>
          <t>채용·면접 진행</t>
        </is>
      </c>
      <c r="C25" s="13" t="inlineStr">
        <is>
          <t>관리/지원</t>
        </is>
      </c>
      <c r="D25" s="13" t="inlineStr">
        <is>
          <t>서류검토·면접·피드백</t>
        </is>
      </c>
      <c r="E25" s="13" t="inlineStr">
        <is>
          <t>김지원(팀장/PM)</t>
        </is>
      </c>
      <c r="F25" s="13" t="inlineStr">
        <is>
          <t>이서연(서비스기획)</t>
        </is>
      </c>
      <c r="G25" s="12" t="inlineStr">
        <is>
          <t>수시</t>
        </is>
      </c>
      <c r="H25" s="14" t="n">
        <v>2</v>
      </c>
      <c r="I25" s="14" t="n">
        <v>3</v>
      </c>
      <c r="J25" s="14">
        <f>IF($B25="","",$H25*IF($I25&lt;&gt;"",$I25,IFERROR(VLOOKUP($G25,주기표,2,FALSE),0)))</f>
        <v/>
      </c>
      <c r="K25" s="13" t="inlineStr">
        <is>
          <t>평가, 커뮤니케이션</t>
        </is>
      </c>
      <c r="L25" s="13" t="inlineStr">
        <is>
          <t>중간(인수인계 필요)</t>
        </is>
      </c>
      <c r="M25" s="12" t="inlineStr">
        <is>
          <t>불가</t>
        </is>
      </c>
      <c r="N25" s="12" t="inlineStr">
        <is>
          <t>중</t>
        </is>
      </c>
      <c r="O25" s="13" t="inlineStr">
        <is>
          <t>채용시즌 변동 큼</t>
        </is>
      </c>
    </row>
    <row r="26">
      <c r="A26" s="9">
        <f>IF($B26="","",ROW()-3)</f>
        <v/>
      </c>
      <c r="B26" s="10" t="inlineStr">
        <is>
          <t>디자인 QA·리뷰</t>
        </is>
      </c>
      <c r="C26" s="10" t="inlineStr">
        <is>
          <t>기획</t>
        </is>
      </c>
      <c r="D26" s="10" t="inlineStr">
        <is>
          <t>산출물 디자인 검수·피드백</t>
        </is>
      </c>
      <c r="E26" s="10" t="inlineStr">
        <is>
          <t>이서연(서비스기획)</t>
        </is>
      </c>
      <c r="F26" s="10" t="inlineStr">
        <is>
          <t>정현우(QA/지원)</t>
        </is>
      </c>
      <c r="G26" s="9" t="inlineStr">
        <is>
          <t>주간(주1회)</t>
        </is>
      </c>
      <c r="H26" s="11" t="n">
        <v>2</v>
      </c>
      <c r="I26" s="11" t="n"/>
      <c r="J26" s="11">
        <f>IF($B26="","",$H26*IF($I26&lt;&gt;"",$I26,IFERROR(VLOOKUP($G26,주기표,2,FALSE),0)))</f>
        <v/>
      </c>
      <c r="K26" s="10" t="inlineStr">
        <is>
          <t>UX, 디테일</t>
        </is>
      </c>
      <c r="L26" s="10" t="inlineStr">
        <is>
          <t>중간(인수인계 필요)</t>
        </is>
      </c>
      <c r="M26" s="9" t="inlineStr">
        <is>
          <t>불가</t>
        </is>
      </c>
      <c r="N26" s="9" t="inlineStr">
        <is>
          <t>중</t>
        </is>
      </c>
      <c r="O26" s="10" t="inlineStr"/>
    </row>
    <row r="27">
      <c r="A27" s="12">
        <f>IF($B27="","",ROW()-3)</f>
        <v/>
      </c>
      <c r="B27" s="13" t="inlineStr">
        <is>
          <t>스프린트 백로그 관리</t>
        </is>
      </c>
      <c r="C27" s="13" t="inlineStr">
        <is>
          <t>기획</t>
        </is>
      </c>
      <c r="D27" s="13" t="inlineStr">
        <is>
          <t>이슈 정리·우선순위화·그루밍</t>
        </is>
      </c>
      <c r="E27" s="13" t="inlineStr">
        <is>
          <t>이서연(서비스기획)</t>
        </is>
      </c>
      <c r="F27" s="13" t="inlineStr">
        <is>
          <t>김지원(팀장/PM)</t>
        </is>
      </c>
      <c r="G27" s="12" t="inlineStr">
        <is>
          <t>주간(주1회)</t>
        </is>
      </c>
      <c r="H27" s="14" t="n">
        <v>1.5</v>
      </c>
      <c r="I27" s="14" t="n"/>
      <c r="J27" s="14">
        <f>IF($B27="","",$H27*IF($I27&lt;&gt;"",$I27,IFERROR(VLOOKUP($G27,주기표,2,FALSE),0)))</f>
        <v/>
      </c>
      <c r="K27" s="13" t="inlineStr">
        <is>
          <t>기획, 일정관리</t>
        </is>
      </c>
      <c r="L27" s="13" t="inlineStr">
        <is>
          <t>중간(인수인계 필요)</t>
        </is>
      </c>
      <c r="M27" s="12" t="inlineStr">
        <is>
          <t>일부 가능</t>
        </is>
      </c>
      <c r="N27" s="12" t="inlineStr">
        <is>
          <t>중</t>
        </is>
      </c>
      <c r="O27" s="13" t="inlineStr"/>
    </row>
    <row r="28">
      <c r="A28" s="9">
        <f>IF($B28="","",ROW()-3)</f>
        <v/>
      </c>
      <c r="B28" s="10" t="inlineStr">
        <is>
          <t>경쟁사·시장 리서치</t>
        </is>
      </c>
      <c r="C28" s="10" t="inlineStr">
        <is>
          <t>기획</t>
        </is>
      </c>
      <c r="D28" s="10" t="inlineStr">
        <is>
          <t>동향 모니터링·벤치마킹 정리</t>
        </is>
      </c>
      <c r="E28" s="10" t="inlineStr">
        <is>
          <t>이서연(서비스기획)</t>
        </is>
      </c>
      <c r="F28" s="10" t="inlineStr">
        <is>
          <t>최유나(데이터/지표)</t>
        </is>
      </c>
      <c r="G28" s="9" t="inlineStr">
        <is>
          <t>월간</t>
        </is>
      </c>
      <c r="H28" s="11" t="n">
        <v>4</v>
      </c>
      <c r="I28" s="11" t="n"/>
      <c r="J28" s="11">
        <f>IF($B28="","",$H28*IF($I28&lt;&gt;"",$I28,IFERROR(VLOOKUP($G28,주기표,2,FALSE),0)))</f>
        <v/>
      </c>
      <c r="K28" s="10" t="inlineStr">
        <is>
          <t>리서치</t>
        </is>
      </c>
      <c r="L28" s="10" t="inlineStr">
        <is>
          <t>낮음(누구나 가능)</t>
        </is>
      </c>
      <c r="M28" s="9" t="inlineStr">
        <is>
          <t>불가</t>
        </is>
      </c>
      <c r="N28" s="9" t="inlineStr">
        <is>
          <t>하</t>
        </is>
      </c>
      <c r="O28" s="10" t="inlineStr"/>
    </row>
    <row r="29">
      <c r="A29" s="12">
        <f>IF($B29="","",ROW()-3)</f>
        <v/>
      </c>
      <c r="B29" s="13" t="inlineStr">
        <is>
          <t>주간 운영 현황 리포트</t>
        </is>
      </c>
      <c r="C29" s="13" t="inlineStr">
        <is>
          <t>데이터/지표</t>
        </is>
      </c>
      <c r="D29" s="13" t="inlineStr">
        <is>
          <t>운영 지표 집계·공유</t>
        </is>
      </c>
      <c r="E29" s="13" t="inlineStr">
        <is>
          <t>박민준(운영매니저)</t>
        </is>
      </c>
      <c r="F29" s="13" t="inlineStr">
        <is>
          <t>최유나(데이터/지표)</t>
        </is>
      </c>
      <c r="G29" s="12" t="inlineStr">
        <is>
          <t>주간(주1회)</t>
        </is>
      </c>
      <c r="H29" s="14" t="n">
        <v>2</v>
      </c>
      <c r="I29" s="14" t="n"/>
      <c r="J29" s="14">
        <f>IF($B29="","",$H29*IF($I29&lt;&gt;"",$I29,IFERROR(VLOOKUP($G29,주기표,2,FALSE),0)))</f>
        <v/>
      </c>
      <c r="K29" s="13" t="inlineStr">
        <is>
          <t>데이터 정리</t>
        </is>
      </c>
      <c r="L29" s="13" t="inlineStr">
        <is>
          <t>중간(인수인계 필요)</t>
        </is>
      </c>
      <c r="M29" s="12" t="inlineStr">
        <is>
          <t>가능</t>
        </is>
      </c>
      <c r="N29" s="12" t="inlineStr">
        <is>
          <t>중</t>
        </is>
      </c>
      <c r="O29" s="13" t="inlineStr">
        <is>
          <t>자동화 후보</t>
        </is>
      </c>
    </row>
    <row r="30">
      <c r="A30" s="9">
        <f>IF($B30="","",ROW()-3)</f>
        <v/>
      </c>
      <c r="B30" s="10" t="inlineStr">
        <is>
          <t>정산·매출 데이터 점검</t>
        </is>
      </c>
      <c r="C30" s="10" t="inlineStr">
        <is>
          <t>운영</t>
        </is>
      </c>
      <c r="D30" s="10" t="inlineStr">
        <is>
          <t>정산 데이터 검증·이상 확인</t>
        </is>
      </c>
      <c r="E30" s="10" t="inlineStr">
        <is>
          <t>박민준(운영매니저)</t>
        </is>
      </c>
      <c r="F30" s="10" t="inlineStr">
        <is>
          <t>최유나(데이터/지표)</t>
        </is>
      </c>
      <c r="G30" s="9" t="inlineStr">
        <is>
          <t>주간(주1회)</t>
        </is>
      </c>
      <c r="H30" s="11" t="n">
        <v>1.5</v>
      </c>
      <c r="I30" s="11" t="n"/>
      <c r="J30" s="11">
        <f>IF($B30="","",$H30*IF($I30&lt;&gt;"",$I30,IFERROR(VLOOKUP($G30,주기표,2,FALSE),0)))</f>
        <v/>
      </c>
      <c r="K30" s="10" t="inlineStr">
        <is>
          <t>꼼꼼함, 숫자감각</t>
        </is>
      </c>
      <c r="L30" s="10" t="inlineStr">
        <is>
          <t>중간(인수인계 필요)</t>
        </is>
      </c>
      <c r="M30" s="9" t="inlineStr">
        <is>
          <t>일부 가능</t>
        </is>
      </c>
      <c r="N30" s="9" t="inlineStr">
        <is>
          <t>상</t>
        </is>
      </c>
      <c r="O30" s="10" t="inlineStr"/>
    </row>
    <row r="31">
      <c r="A31" s="12">
        <f>IF($B31="","",ROW()-3)</f>
        <v/>
      </c>
      <c r="B31" s="13" t="inlineStr">
        <is>
          <t>신규 입점·온보딩 처리</t>
        </is>
      </c>
      <c r="C31" s="13" t="inlineStr">
        <is>
          <t>운영</t>
        </is>
      </c>
      <c r="D31" s="13" t="inlineStr">
        <is>
          <t>신규 건 검수·등록·안내</t>
        </is>
      </c>
      <c r="E31" s="13" t="inlineStr">
        <is>
          <t>박민준(운영매니저)</t>
        </is>
      </c>
      <c r="F31" s="13" t="inlineStr">
        <is>
          <t>정현우(QA/지원)</t>
        </is>
      </c>
      <c r="G31" s="12" t="inlineStr">
        <is>
          <t>수시</t>
        </is>
      </c>
      <c r="H31" s="14" t="n">
        <v>0.75</v>
      </c>
      <c r="I31" s="14" t="n">
        <v>8</v>
      </c>
      <c r="J31" s="14">
        <f>IF($B31="","",$H31*IF($I31&lt;&gt;"",$I31,IFERROR(VLOOKUP($G31,주기표,2,FALSE),0)))</f>
        <v/>
      </c>
      <c r="K31" s="13" t="inlineStr">
        <is>
          <t>운영, 꼼꼼함</t>
        </is>
      </c>
      <c r="L31" s="13" t="inlineStr">
        <is>
          <t>낮음(누구나 가능)</t>
        </is>
      </c>
      <c r="M31" s="12" t="inlineStr">
        <is>
          <t>일부 가능</t>
        </is>
      </c>
      <c r="N31" s="12" t="inlineStr">
        <is>
          <t>중</t>
        </is>
      </c>
      <c r="O31" s="13" t="inlineStr"/>
    </row>
    <row r="32">
      <c r="A32" s="9">
        <f>IF($B32="","",ROW()-3)</f>
        <v/>
      </c>
      <c r="B32" s="10" t="inlineStr">
        <is>
          <t>장애·인시던트 대응</t>
        </is>
      </c>
      <c r="C32" s="10" t="inlineStr">
        <is>
          <t>운영</t>
        </is>
      </c>
      <c r="D32" s="10" t="inlineStr">
        <is>
          <t>긴급 이슈 처리·사후 리포트</t>
        </is>
      </c>
      <c r="E32" s="10" t="inlineStr">
        <is>
          <t>박민준(운영매니저)</t>
        </is>
      </c>
      <c r="F32" s="10" t="inlineStr">
        <is>
          <t>정현우(QA/지원)</t>
        </is>
      </c>
      <c r="G32" s="9" t="inlineStr">
        <is>
          <t>수시</t>
        </is>
      </c>
      <c r="H32" s="11" t="n">
        <v>2</v>
      </c>
      <c r="I32" s="11" t="n">
        <v>4</v>
      </c>
      <c r="J32" s="11">
        <f>IF($B32="","",$H32*IF($I32&lt;&gt;"",$I32,IFERROR(VLOOKUP($G32,주기표,2,FALSE),0)))</f>
        <v/>
      </c>
      <c r="K32" s="10" t="inlineStr">
        <is>
          <t>문제해결, 침착함</t>
        </is>
      </c>
      <c r="L32" s="10" t="inlineStr">
        <is>
          <t>높음(전담 필수)</t>
        </is>
      </c>
      <c r="M32" s="9" t="inlineStr">
        <is>
          <t>불가</t>
        </is>
      </c>
      <c r="N32" s="9" t="inlineStr">
        <is>
          <t>상</t>
        </is>
      </c>
      <c r="O32" s="10" t="inlineStr">
        <is>
          <t>발생 예측 어려움</t>
        </is>
      </c>
    </row>
    <row r="33">
      <c r="A33" s="12">
        <f>IF($B33="","",ROW()-3)</f>
        <v/>
      </c>
      <c r="B33" s="13" t="inlineStr">
        <is>
          <t>일일 정산 마감 확인</t>
        </is>
      </c>
      <c r="C33" s="13" t="inlineStr">
        <is>
          <t>운영</t>
        </is>
      </c>
      <c r="D33" s="13" t="inlineStr">
        <is>
          <t>마감 배치·수치 확인</t>
        </is>
      </c>
      <c r="E33" s="13" t="inlineStr">
        <is>
          <t>박민준(운영매니저)</t>
        </is>
      </c>
      <c r="F33" s="13" t="inlineStr">
        <is>
          <t>최유나(데이터/지표)</t>
        </is>
      </c>
      <c r="G33" s="12" t="inlineStr">
        <is>
          <t>매일</t>
        </is>
      </c>
      <c r="H33" s="14" t="n">
        <v>0.5</v>
      </c>
      <c r="I33" s="14" t="n"/>
      <c r="J33" s="14">
        <f>IF($B33="","",$H33*IF($I33&lt;&gt;"",$I33,IFERROR(VLOOKUP($G33,주기표,2,FALSE),0)))</f>
        <v/>
      </c>
      <c r="K33" s="13" t="inlineStr">
        <is>
          <t>운영</t>
        </is>
      </c>
      <c r="L33" s="13" t="inlineStr">
        <is>
          <t>중간(인수인계 필요)</t>
        </is>
      </c>
      <c r="M33" s="12" t="inlineStr">
        <is>
          <t>가능</t>
        </is>
      </c>
      <c r="N33" s="12" t="inlineStr">
        <is>
          <t>상</t>
        </is>
      </c>
      <c r="O33" s="13" t="inlineStr">
        <is>
          <t>자동화 후보</t>
        </is>
      </c>
    </row>
    <row r="34">
      <c r="A34" s="9">
        <f>IF($B34="","",ROW()-3)</f>
        <v/>
      </c>
      <c r="B34" s="10" t="inlineStr">
        <is>
          <t>고객 문의 2차 대응</t>
        </is>
      </c>
      <c r="C34" s="10" t="inlineStr">
        <is>
          <t>운영</t>
        </is>
      </c>
      <c r="D34" s="10" t="inlineStr">
        <is>
          <t>에스컬레이션 건 심층 처리</t>
        </is>
      </c>
      <c r="E34" s="10" t="inlineStr">
        <is>
          <t>박민준(운영매니저)</t>
        </is>
      </c>
      <c r="F34" s="10" t="inlineStr">
        <is>
          <t>정현우(QA/지원)</t>
        </is>
      </c>
      <c r="G34" s="9" t="inlineStr">
        <is>
          <t>매일</t>
        </is>
      </c>
      <c r="H34" s="11" t="n">
        <v>0.5</v>
      </c>
      <c r="I34" s="11" t="n"/>
      <c r="J34" s="11">
        <f>IF($B34="","",$H34*IF($I34&lt;&gt;"",$I34,IFERROR(VLOOKUP($G34,주기표,2,FALSE),0)))</f>
        <v/>
      </c>
      <c r="K34" s="10" t="inlineStr">
        <is>
          <t>CS, 문제해결</t>
        </is>
      </c>
      <c r="L34" s="10" t="inlineStr">
        <is>
          <t>중간(인수인계 필요)</t>
        </is>
      </c>
      <c r="M34" s="9" t="inlineStr">
        <is>
          <t>불가</t>
        </is>
      </c>
      <c r="N34" s="9" t="inlineStr">
        <is>
          <t>중</t>
        </is>
      </c>
      <c r="O34" s="10" t="inlineStr"/>
    </row>
    <row r="35">
      <c r="A35" s="12">
        <f>IF($B35="","",ROW()-3)</f>
        <v/>
      </c>
      <c r="B35" s="13" t="inlineStr">
        <is>
          <t>주간 운영 회의 주재</t>
        </is>
      </c>
      <c r="C35" s="13" t="inlineStr">
        <is>
          <t>운영</t>
        </is>
      </c>
      <c r="D35" s="13" t="inlineStr">
        <is>
          <t>운영 이슈 점검 회의 진행</t>
        </is>
      </c>
      <c r="E35" s="13" t="inlineStr">
        <is>
          <t>박민준(운영매니저)</t>
        </is>
      </c>
      <c r="F35" s="13" t="inlineStr">
        <is>
          <t>김지원(팀장/PM)</t>
        </is>
      </c>
      <c r="G35" s="12" t="inlineStr">
        <is>
          <t>주간(주1회)</t>
        </is>
      </c>
      <c r="H35" s="14" t="n">
        <v>1.5</v>
      </c>
      <c r="I35" s="14" t="n"/>
      <c r="J35" s="14">
        <f>IF($B35="","",$H35*IF($I35&lt;&gt;"",$I35,IFERROR(VLOOKUP($G35,주기표,2,FALSE),0)))</f>
        <v/>
      </c>
      <c r="K35" s="13" t="inlineStr">
        <is>
          <t>퍼실리테이션</t>
        </is>
      </c>
      <c r="L35" s="13" t="inlineStr">
        <is>
          <t>낮음(누구나 가능)</t>
        </is>
      </c>
      <c r="M35" s="12" t="inlineStr">
        <is>
          <t>불가</t>
        </is>
      </c>
      <c r="N35" s="12" t="inlineStr">
        <is>
          <t>중</t>
        </is>
      </c>
      <c r="O35" s="13" t="inlineStr"/>
    </row>
    <row r="36">
      <c r="A36" s="9">
        <f>IF($B36="","",ROW()-3)</f>
        <v/>
      </c>
      <c r="B36" s="10" t="inlineStr">
        <is>
          <t>데이터 거버넌스·지표 정의</t>
        </is>
      </c>
      <c r="C36" s="10" t="inlineStr">
        <is>
          <t>데이터/지표</t>
        </is>
      </c>
      <c r="D36" s="10" t="inlineStr">
        <is>
          <t>지표 표준·정의 관리</t>
        </is>
      </c>
      <c r="E36" s="10" t="inlineStr">
        <is>
          <t>최유나(데이터/지표)</t>
        </is>
      </c>
      <c r="F36" s="10" t="inlineStr">
        <is>
          <t>이서연(서비스기획)</t>
        </is>
      </c>
      <c r="G36" s="9" t="inlineStr">
        <is>
          <t>월간</t>
        </is>
      </c>
      <c r="H36" s="11" t="n">
        <v>4</v>
      </c>
      <c r="I36" s="11" t="n"/>
      <c r="J36" s="11">
        <f>IF($B36="","",$H36*IF($I36&lt;&gt;"",$I36,IFERROR(VLOOKUP($G36,주기표,2,FALSE),0)))</f>
        <v/>
      </c>
      <c r="K36" s="10" t="inlineStr">
        <is>
          <t>데이터 모델링</t>
        </is>
      </c>
      <c r="L36" s="10" t="inlineStr">
        <is>
          <t>높음(전담 필수)</t>
        </is>
      </c>
      <c r="M36" s="9" t="inlineStr">
        <is>
          <t>불가</t>
        </is>
      </c>
      <c r="N36" s="9" t="inlineStr">
        <is>
          <t>중</t>
        </is>
      </c>
      <c r="O36" s="10" t="inlineStr"/>
    </row>
    <row r="37">
      <c r="A37" s="12">
        <f>IF($B37="","",ROW()-3)</f>
        <v/>
      </c>
      <c r="B37" s="13" t="inlineStr">
        <is>
          <t>정기 코호트 분석</t>
        </is>
      </c>
      <c r="C37" s="13" t="inlineStr">
        <is>
          <t>데이터/지표</t>
        </is>
      </c>
      <c r="D37" s="13" t="inlineStr">
        <is>
          <t>리텐션·코호트 추이 분석</t>
        </is>
      </c>
      <c r="E37" s="13" t="inlineStr">
        <is>
          <t>최유나(데이터/지표)</t>
        </is>
      </c>
      <c r="F37" s="13" t="inlineStr">
        <is>
          <t>김지원(팀장/PM)</t>
        </is>
      </c>
      <c r="G37" s="12" t="inlineStr">
        <is>
          <t>격주</t>
        </is>
      </c>
      <c r="H37" s="14" t="n">
        <v>4</v>
      </c>
      <c r="I37" s="14" t="n"/>
      <c r="J37" s="14">
        <f>IF($B37="","",$H37*IF($I37&lt;&gt;"",$I37,IFERROR(VLOOKUP($G37,주기표,2,FALSE),0)))</f>
        <v/>
      </c>
      <c r="K37" s="13" t="inlineStr">
        <is>
          <t>데이터분석</t>
        </is>
      </c>
      <c r="L37" s="13" t="inlineStr">
        <is>
          <t>높음(전담 필수)</t>
        </is>
      </c>
      <c r="M37" s="12" t="inlineStr">
        <is>
          <t>일부 가능</t>
        </is>
      </c>
      <c r="N37" s="12" t="inlineStr">
        <is>
          <t>중</t>
        </is>
      </c>
      <c r="O37" s="13" t="inlineStr"/>
    </row>
    <row r="38">
      <c r="A38" s="9">
        <f>IF($B38="","",ROW()-3)</f>
        <v/>
      </c>
      <c r="B38" s="10" t="inlineStr">
        <is>
          <t>일일 스모크 테스트</t>
        </is>
      </c>
      <c r="C38" s="10" t="inlineStr">
        <is>
          <t>QA/품질</t>
        </is>
      </c>
      <c r="D38" s="10" t="inlineStr">
        <is>
          <t>핵심 플로우 일일 점검</t>
        </is>
      </c>
      <c r="E38" s="10" t="inlineStr">
        <is>
          <t>정현우(QA/지원)</t>
        </is>
      </c>
      <c r="F38" s="10" t="inlineStr">
        <is>
          <t>박민준(운영매니저)</t>
        </is>
      </c>
      <c r="G38" s="9" t="inlineStr">
        <is>
          <t>매일</t>
        </is>
      </c>
      <c r="H38" s="11" t="n">
        <v>0.5</v>
      </c>
      <c r="I38" s="11" t="n"/>
      <c r="J38" s="11">
        <f>IF($B38="","",$H38*IF($I38&lt;&gt;"",$I38,IFERROR(VLOOKUP($G38,주기표,2,FALSE),0)))</f>
        <v/>
      </c>
      <c r="K38" s="10" t="inlineStr">
        <is>
          <t>QA</t>
        </is>
      </c>
      <c r="L38" s="10" t="inlineStr">
        <is>
          <t>낮음(누구나 가능)</t>
        </is>
      </c>
      <c r="M38" s="9" t="inlineStr">
        <is>
          <t>가능</t>
        </is>
      </c>
      <c r="N38" s="9" t="inlineStr">
        <is>
          <t>중</t>
        </is>
      </c>
      <c r="O38" s="10" t="inlineStr">
        <is>
          <t>자동화 후보</t>
        </is>
      </c>
    </row>
    <row r="39">
      <c r="A39" s="12">
        <f>IF($B39="","",ROW()-3)</f>
        <v/>
      </c>
      <c r="B39" s="13" t="inlineStr">
        <is>
          <t>QA 자동화 스크립트 유지보수</t>
        </is>
      </c>
      <c r="C39" s="13" t="inlineStr">
        <is>
          <t>QA/품질</t>
        </is>
      </c>
      <c r="D39" s="13" t="inlineStr">
        <is>
          <t>테스트 자동화 코드 관리</t>
        </is>
      </c>
      <c r="E39" s="13" t="inlineStr">
        <is>
          <t>정현우(QA/지원)</t>
        </is>
      </c>
      <c r="F39" s="13" t="inlineStr">
        <is>
          <t>최유나(데이터/지표)</t>
        </is>
      </c>
      <c r="G39" s="12" t="inlineStr">
        <is>
          <t>주간(주1회)</t>
        </is>
      </c>
      <c r="H39" s="14" t="n">
        <v>2</v>
      </c>
      <c r="I39" s="14" t="n"/>
      <c r="J39" s="14">
        <f>IF($B39="","",$H39*IF($I39&lt;&gt;"",$I39,IFERROR(VLOOKUP($G39,주기표,2,FALSE),0)))</f>
        <v/>
      </c>
      <c r="K39" s="13" t="inlineStr">
        <is>
          <t>테스트 자동화, 코드</t>
        </is>
      </c>
      <c r="L39" s="13" t="inlineStr">
        <is>
          <t>높음(전담 필수)</t>
        </is>
      </c>
      <c r="M39" s="12" t="inlineStr">
        <is>
          <t>일부 가능</t>
        </is>
      </c>
      <c r="N39" s="12" t="inlineStr">
        <is>
          <t>중</t>
        </is>
      </c>
      <c r="O39" s="13" t="inlineStr"/>
    </row>
    <row r="40">
      <c r="A40" s="9">
        <f>IF($B40="","",ROW()-3)</f>
        <v/>
      </c>
      <c r="B40" s="10" t="n"/>
      <c r="C40" s="10" t="n"/>
      <c r="D40" s="10" t="n"/>
      <c r="E40" s="10" t="n"/>
      <c r="F40" s="10" t="n"/>
      <c r="G40" s="9" t="n"/>
      <c r="H40" s="11" t="n"/>
      <c r="I40" s="11" t="n"/>
      <c r="J40" s="11">
        <f>IF($B40="","",$H40*IF($I40&lt;&gt;"",$I40,IFERROR(VLOOKUP($G40,주기표,2,FALSE),0)))</f>
        <v/>
      </c>
      <c r="K40" s="10" t="n"/>
      <c r="L40" s="10" t="n"/>
      <c r="M40" s="9" t="n"/>
      <c r="N40" s="9" t="n"/>
      <c r="O40" s="10" t="n"/>
    </row>
    <row r="41">
      <c r="A41" s="12">
        <f>IF($B41="","",ROW()-3)</f>
        <v/>
      </c>
      <c r="B41" s="13" t="n"/>
      <c r="C41" s="13" t="n"/>
      <c r="D41" s="13" t="n"/>
      <c r="E41" s="13" t="n"/>
      <c r="F41" s="13" t="n"/>
      <c r="G41" s="12" t="n"/>
      <c r="H41" s="14" t="n"/>
      <c r="I41" s="14" t="n"/>
      <c r="J41" s="14">
        <f>IF($B41="","",$H41*IF($I41&lt;&gt;"",$I41,IFERROR(VLOOKUP($G41,주기표,2,FALSE),0)))</f>
        <v/>
      </c>
      <c r="K41" s="13" t="n"/>
      <c r="L41" s="13" t="n"/>
      <c r="M41" s="12" t="n"/>
      <c r="N41" s="12" t="n"/>
      <c r="O41" s="13" t="n"/>
    </row>
    <row r="42">
      <c r="A42" s="9">
        <f>IF($B42="","",ROW()-3)</f>
        <v/>
      </c>
      <c r="B42" s="10" t="n"/>
      <c r="C42" s="10" t="n"/>
      <c r="D42" s="10" t="n"/>
      <c r="E42" s="10" t="n"/>
      <c r="F42" s="10" t="n"/>
      <c r="G42" s="9" t="n"/>
      <c r="H42" s="11" t="n"/>
      <c r="I42" s="11" t="n"/>
      <c r="J42" s="11">
        <f>IF($B42="","",$H42*IF($I42&lt;&gt;"",$I42,IFERROR(VLOOKUP($G42,주기표,2,FALSE),0)))</f>
        <v/>
      </c>
      <c r="K42" s="10" t="n"/>
      <c r="L42" s="10" t="n"/>
      <c r="M42" s="9" t="n"/>
      <c r="N42" s="9" t="n"/>
      <c r="O42" s="10" t="n"/>
    </row>
    <row r="43">
      <c r="A43" s="12">
        <f>IF($B43="","",ROW()-3)</f>
        <v/>
      </c>
      <c r="B43" s="13" t="n"/>
      <c r="C43" s="13" t="n"/>
      <c r="D43" s="13" t="n"/>
      <c r="E43" s="13" t="n"/>
      <c r="F43" s="13" t="n"/>
      <c r="G43" s="12" t="n"/>
      <c r="H43" s="14" t="n"/>
      <c r="I43" s="14" t="n"/>
      <c r="J43" s="14">
        <f>IF($B43="","",$H43*IF($I43&lt;&gt;"",$I43,IFERROR(VLOOKUP($G43,주기표,2,FALSE),0)))</f>
        <v/>
      </c>
      <c r="K43" s="13" t="n"/>
      <c r="L43" s="13" t="n"/>
      <c r="M43" s="12" t="n"/>
      <c r="N43" s="12" t="n"/>
      <c r="O43" s="13" t="n"/>
    </row>
    <row r="44">
      <c r="A44" s="9">
        <f>IF($B44="","",ROW()-3)</f>
        <v/>
      </c>
      <c r="B44" s="10" t="n"/>
      <c r="C44" s="10" t="n"/>
      <c r="D44" s="10" t="n"/>
      <c r="E44" s="10" t="n"/>
      <c r="F44" s="10" t="n"/>
      <c r="G44" s="9" t="n"/>
      <c r="H44" s="11" t="n"/>
      <c r="I44" s="11" t="n"/>
      <c r="J44" s="11">
        <f>IF($B44="","",$H44*IF($I44&lt;&gt;"",$I44,IFERROR(VLOOKUP($G44,주기표,2,FALSE),0)))</f>
        <v/>
      </c>
      <c r="K44" s="10" t="n"/>
      <c r="L44" s="10" t="n"/>
      <c r="M44" s="9" t="n"/>
      <c r="N44" s="9" t="n"/>
      <c r="O44" s="10" t="n"/>
    </row>
    <row r="45">
      <c r="A45" s="12">
        <f>IF($B45="","",ROW()-3)</f>
        <v/>
      </c>
      <c r="B45" s="13" t="n"/>
      <c r="C45" s="13" t="n"/>
      <c r="D45" s="13" t="n"/>
      <c r="E45" s="13" t="n"/>
      <c r="F45" s="13" t="n"/>
      <c r="G45" s="12" t="n"/>
      <c r="H45" s="14" t="n"/>
      <c r="I45" s="14" t="n"/>
      <c r="J45" s="14">
        <f>IF($B45="","",$H45*IF($I45&lt;&gt;"",$I45,IFERROR(VLOOKUP($G45,주기표,2,FALSE),0)))</f>
        <v/>
      </c>
      <c r="K45" s="13" t="n"/>
      <c r="L45" s="13" t="n"/>
      <c r="M45" s="12" t="n"/>
      <c r="N45" s="12" t="n"/>
      <c r="O45" s="13" t="n"/>
    </row>
    <row r="46">
      <c r="A46" s="15" t="inlineStr"/>
      <c r="B46" s="16" t="inlineStr">
        <is>
          <t>합계 / 월 총 투입시간</t>
        </is>
      </c>
      <c r="C46" s="15" t="n"/>
      <c r="D46" s="15" t="n"/>
      <c r="E46" s="15" t="n"/>
      <c r="F46" s="15" t="n"/>
      <c r="G46" s="15" t="n"/>
      <c r="H46" s="15" t="n"/>
      <c r="I46" s="15" t="n"/>
      <c r="J46" s="17">
        <f>SUM(J4:J45)</f>
        <v/>
      </c>
      <c r="K46" s="15" t="n"/>
      <c r="L46" s="15" t="n"/>
      <c r="M46" s="15" t="n"/>
      <c r="N46" s="15" t="n"/>
      <c r="O46" s="15" t="n"/>
    </row>
  </sheetData>
  <mergeCells count="2">
    <mergeCell ref="A1:O1"/>
    <mergeCell ref="A2:O2"/>
  </mergeCells>
  <conditionalFormatting sqref="N4:N45">
    <cfRule type="cellIs" priority="1" operator="equal" dxfId="0">
      <formula>"상"</formula>
    </cfRule>
  </conditionalFormatting>
  <conditionalFormatting sqref="L4:L45">
    <cfRule type="cellIs" priority="2" operator="equal" dxfId="1">
      <formula>"높음(전담 필수)"</formula>
    </cfRule>
  </conditionalFormatting>
  <dataValidations count="7">
    <dataValidation sqref="C4:C45" showDropDown="0" showInputMessage="0" showErrorMessage="0" allowBlank="1" errorTitle="입력값 확인" error="목록에서 선택하세요" type="list">
      <formula1>=목록_분류</formula1>
    </dataValidation>
    <dataValidation sqref="E4:E45" showDropDown="0" showInputMessage="0" showErrorMessage="0" allowBlank="1" errorTitle="입력값 확인" error="목록에서 선택하세요" type="list">
      <formula1>=목록_팀원</formula1>
    </dataValidation>
    <dataValidation sqref="F4:F45" showDropDown="0" showInputMessage="0" showErrorMessage="0" allowBlank="1" errorTitle="입력값 확인" error="목록에서 선택하세요" type="list">
      <formula1>=목록_팀원</formula1>
    </dataValidation>
    <dataValidation sqref="G4:G45" showDropDown="0" showInputMessage="0" showErrorMessage="0" allowBlank="1" errorTitle="입력값 확인" error="목록에서 선택하세요" type="list">
      <formula1>=목록_주기</formula1>
    </dataValidation>
    <dataValidation sqref="L4:L45" showDropDown="0" showInputMessage="0" showErrorMessage="0" allowBlank="1" errorTitle="입력값 확인" error="목록에서 선택하세요" type="list">
      <formula1>=목록_난이도</formula1>
    </dataValidation>
    <dataValidation sqref="M4:M45" showDropDown="0" showInputMessage="0" showErrorMessage="0" allowBlank="1" errorTitle="입력값 확인" error="목록에서 선택하세요" type="list">
      <formula1>=목록_자동화</formula1>
    </dataValidation>
    <dataValidation sqref="N4:N45" showDropDown="0" showInputMessage="0" showErrorMessage="0" allowBlank="1" errorTitle="입력값 확인" error="목록에서 선택하세요" type="list">
      <formula1>=목록_우선순위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0" customWidth="1" min="4" max="4"/>
    <col width="12" customWidth="1" min="5" max="5"/>
    <col width="9" customWidth="1" min="6" max="6"/>
    <col width="10" customWidth="1" min="7" max="7"/>
    <col width="11" customWidth="1" min="8" max="8"/>
    <col width="12" customWidth="1" min="9" max="9"/>
    <col width="9" customWidth="1" min="10" max="10"/>
  </cols>
  <sheetData>
    <row r="1" ht="34" customHeight="1">
      <c r="A1" s="6" t="inlineStr">
        <is>
          <t>② 팀원별 업무 부하 대시보드  (자동 계산)</t>
        </is>
      </c>
    </row>
    <row r="2" ht="30" customHeight="1">
      <c r="A2" s="7" t="inlineStr">
        <is>
          <t>기준: 주당 가용 32시간(회의·휴식 제외 실작업) × 4.33주 = 월 가용시간.  투입시간은 ① 업무마스터의 '주담당' 기준으로 자동 합산됩니다.  부하율 70%↑ 과부하 / 40~70% 적정 / 40%↓ 여유. (정기 업무 기준 — 나머지는 회의·돌발업무 몫)</t>
        </is>
      </c>
    </row>
    <row r="3" ht="34" customHeight="1">
      <c r="A3" s="8" t="inlineStr">
        <is>
          <t>팀원</t>
        </is>
      </c>
      <c r="B3" s="8" t="inlineStr">
        <is>
          <t>직무/역할</t>
        </is>
      </c>
      <c r="C3" s="8" t="inlineStr">
        <is>
          <t>주당
가용(h)</t>
        </is>
      </c>
      <c r="D3" s="8" t="inlineStr">
        <is>
          <t>월 가용
(h)</t>
        </is>
      </c>
      <c r="E3" s="8" t="inlineStr">
        <is>
          <t>월 투입(h)
(주담당)</t>
        </is>
      </c>
      <c r="F3" s="8" t="inlineStr">
        <is>
          <t>담당
업무수</t>
        </is>
      </c>
      <c r="G3" s="8" t="inlineStr">
        <is>
          <t>부하율</t>
        </is>
      </c>
      <c r="H3" s="8" t="inlineStr">
        <is>
          <t>여력(h)
(월)</t>
        </is>
      </c>
      <c r="I3" s="8" t="inlineStr">
        <is>
          <t>상태</t>
        </is>
      </c>
      <c r="J3" s="8" t="inlineStr">
        <is>
          <t>백업
지정수</t>
        </is>
      </c>
    </row>
    <row r="4">
      <c r="A4" s="10" t="inlineStr">
        <is>
          <t>김지원(팀장/PM)</t>
        </is>
      </c>
      <c r="B4" s="9" t="inlineStr">
        <is>
          <t>팀장 / PM</t>
        </is>
      </c>
      <c r="C4" s="9" t="n">
        <v>32</v>
      </c>
      <c r="D4" s="11">
        <f>C4*4.33</f>
        <v/>
      </c>
      <c r="E4" s="11">
        <f>SUMIF('① 업무마스터(R&amp;R)'!$E$4:$E$45,$A4,'① 업무마스터(R&amp;R)'!$J$4:$J$45)</f>
        <v/>
      </c>
      <c r="F4" s="9">
        <f>COUNTIF('① 업무마스터(R&amp;R)'!$E$4:$E$45,$A4)</f>
        <v/>
      </c>
      <c r="G4" s="18">
        <f>IFERROR(E4/D4,0)</f>
        <v/>
      </c>
      <c r="H4" s="11">
        <f>D4-E4</f>
        <v/>
      </c>
      <c r="I4" s="9">
        <f>IF(G4&gt;=0.7,"⚠ 과부하",IF(G4&gt;=0.4,"적정","🟢 여유"))</f>
        <v/>
      </c>
      <c r="J4" s="9">
        <f>COUNTIF('① 업무마스터(R&amp;R)'!$F$4:$F$45,$A4)</f>
        <v/>
      </c>
    </row>
    <row r="5">
      <c r="A5" s="13" t="inlineStr">
        <is>
          <t>이서연(서비스기획)</t>
        </is>
      </c>
      <c r="B5" s="12" t="inlineStr">
        <is>
          <t>서비스 기획</t>
        </is>
      </c>
      <c r="C5" s="12" t="n">
        <v>32</v>
      </c>
      <c r="D5" s="14">
        <f>C5*4.33</f>
        <v/>
      </c>
      <c r="E5" s="14">
        <f>SUMIF('① 업무마스터(R&amp;R)'!$E$4:$E$45,$A5,'① 업무마스터(R&amp;R)'!$J$4:$J$45)</f>
        <v/>
      </c>
      <c r="F5" s="12">
        <f>COUNTIF('① 업무마스터(R&amp;R)'!$E$4:$E$45,$A5)</f>
        <v/>
      </c>
      <c r="G5" s="19">
        <f>IFERROR(E5/D5,0)</f>
        <v/>
      </c>
      <c r="H5" s="14">
        <f>D5-E5</f>
        <v/>
      </c>
      <c r="I5" s="12">
        <f>IF(G5&gt;=0.7,"⚠ 과부하",IF(G5&gt;=0.4,"적정","🟢 여유"))</f>
        <v/>
      </c>
      <c r="J5" s="12">
        <f>COUNTIF('① 업무마스터(R&amp;R)'!$F$4:$F$45,$A5)</f>
        <v/>
      </c>
    </row>
    <row r="6">
      <c r="A6" s="10" t="inlineStr">
        <is>
          <t>박민준(운영매니저)</t>
        </is>
      </c>
      <c r="B6" s="9" t="inlineStr">
        <is>
          <t>운영 매니저</t>
        </is>
      </c>
      <c r="C6" s="9" t="n">
        <v>32</v>
      </c>
      <c r="D6" s="11">
        <f>C6*4.33</f>
        <v/>
      </c>
      <c r="E6" s="11">
        <f>SUMIF('① 업무마스터(R&amp;R)'!$E$4:$E$45,$A6,'① 업무마스터(R&amp;R)'!$J$4:$J$45)</f>
        <v/>
      </c>
      <c r="F6" s="9">
        <f>COUNTIF('① 업무마스터(R&amp;R)'!$E$4:$E$45,$A6)</f>
        <v/>
      </c>
      <c r="G6" s="18">
        <f>IFERROR(E6/D6,0)</f>
        <v/>
      </c>
      <c r="H6" s="11">
        <f>D6-E6</f>
        <v/>
      </c>
      <c r="I6" s="9">
        <f>IF(G6&gt;=0.7,"⚠ 과부하",IF(G6&gt;=0.4,"적정","🟢 여유"))</f>
        <v/>
      </c>
      <c r="J6" s="9">
        <f>COUNTIF('① 업무마스터(R&amp;R)'!$F$4:$F$45,$A6)</f>
        <v/>
      </c>
    </row>
    <row r="7">
      <c r="A7" s="13" t="inlineStr">
        <is>
          <t>최유나(데이터/지표)</t>
        </is>
      </c>
      <c r="B7" s="12" t="inlineStr">
        <is>
          <t>데이터 / 지표</t>
        </is>
      </c>
      <c r="C7" s="12" t="n">
        <v>32</v>
      </c>
      <c r="D7" s="14">
        <f>C7*4.33</f>
        <v/>
      </c>
      <c r="E7" s="14">
        <f>SUMIF('① 업무마스터(R&amp;R)'!$E$4:$E$45,$A7,'① 업무마스터(R&amp;R)'!$J$4:$J$45)</f>
        <v/>
      </c>
      <c r="F7" s="12">
        <f>COUNTIF('① 업무마스터(R&amp;R)'!$E$4:$E$45,$A7)</f>
        <v/>
      </c>
      <c r="G7" s="19">
        <f>IFERROR(E7/D7,0)</f>
        <v/>
      </c>
      <c r="H7" s="14">
        <f>D7-E7</f>
        <v/>
      </c>
      <c r="I7" s="12">
        <f>IF(G7&gt;=0.7,"⚠ 과부하",IF(G7&gt;=0.4,"적정","🟢 여유"))</f>
        <v/>
      </c>
      <c r="J7" s="12">
        <f>COUNTIF('① 업무마스터(R&amp;R)'!$F$4:$F$45,$A7)</f>
        <v/>
      </c>
    </row>
    <row r="8">
      <c r="A8" s="10" t="inlineStr">
        <is>
          <t>정현우(QA/지원)</t>
        </is>
      </c>
      <c r="B8" s="9" t="inlineStr">
        <is>
          <t>QA / 지원</t>
        </is>
      </c>
      <c r="C8" s="9" t="n">
        <v>32</v>
      </c>
      <c r="D8" s="11">
        <f>C8*4.33</f>
        <v/>
      </c>
      <c r="E8" s="11">
        <f>SUMIF('① 업무마스터(R&amp;R)'!$E$4:$E$45,$A8,'① 업무마스터(R&amp;R)'!$J$4:$J$45)</f>
        <v/>
      </c>
      <c r="F8" s="9">
        <f>COUNTIF('① 업무마스터(R&amp;R)'!$E$4:$E$45,$A8)</f>
        <v/>
      </c>
      <c r="G8" s="18">
        <f>IFERROR(E8/D8,0)</f>
        <v/>
      </c>
      <c r="H8" s="11">
        <f>D8-E8</f>
        <v/>
      </c>
      <c r="I8" s="9">
        <f>IF(G8&gt;=0.7,"⚠ 과부하",IF(G8&gt;=0.4,"적정","🟢 여유"))</f>
        <v/>
      </c>
      <c r="J8" s="9">
        <f>COUNTIF('① 업무마스터(R&amp;R)'!$F$4:$F$45,$A8)</f>
        <v/>
      </c>
    </row>
    <row r="9">
      <c r="A9" s="16" t="inlineStr">
        <is>
          <t>팀 합계 / 평균</t>
        </is>
      </c>
      <c r="B9" s="20" t="n"/>
      <c r="C9" s="20" t="n"/>
      <c r="D9" s="21">
        <f>SUM(D4:D8)</f>
        <v/>
      </c>
      <c r="E9" s="21">
        <f>SUM(E4:E8)</f>
        <v/>
      </c>
      <c r="F9" s="20">
        <f>SUM(F4:F8)</f>
        <v/>
      </c>
      <c r="G9" s="22">
        <f>IFERROR(E9/D9,0)</f>
        <v/>
      </c>
      <c r="H9" s="21">
        <f>SUM(H4:H8)</f>
        <v/>
      </c>
      <c r="I9" s="20" t="n"/>
      <c r="J9" s="20" t="n"/>
    </row>
  </sheetData>
  <mergeCells count="2">
    <mergeCell ref="A1:J1"/>
    <mergeCell ref="A2:J2"/>
  </mergeCells>
  <conditionalFormatting sqref="G4:G8">
    <cfRule type="colorScale" priority="1">
      <colorScale>
        <cfvo type="num" val="0"/>
        <cfvo type="num" val="0.55"/>
        <cfvo type="num" val="1"/>
        <color rgb="00C6EFCE"/>
        <color rgb="00FFEB9C"/>
        <color rgb="00FFC7CE"/>
      </colorScale>
    </cfRule>
  </conditionalFormatting>
  <conditionalFormatting sqref="I4:I8">
    <cfRule type="expression" priority="2" dxfId="0">
      <formula>ISNUMBER(SEARCH("과부하",I4))</formula>
    </cfRule>
    <cfRule type="expression" priority="3" dxfId="2">
      <formula>ISNUMBER(SEARCH("여유",I4))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30" customWidth="1" min="7" max="7"/>
  </cols>
  <sheetData>
    <row r="1" ht="34" customHeight="1">
      <c r="A1" s="6" t="inlineStr">
        <is>
          <t>③ 긴급 업무 배분 가이드</t>
        </is>
      </c>
    </row>
    <row r="2" ht="32" customHeight="1">
      <c r="A2" s="7" t="inlineStr">
        <is>
          <t>갑작스런 업무 발생 시 ① 필요 역량이 맞는 사람을 먼저 추리고 → ② 아래 표에서 '여력(h)'이 큰 사람에게 배정하세요.  B3 셀에 예상 소요시간(월,h)을 입력하면 누가 수용 가능한지 자동 표시됩니다.</t>
        </is>
      </c>
    </row>
    <row r="3">
      <c r="A3" s="23" t="inlineStr">
        <is>
          <t>▶ 긴급업무 예상 소요시간 (월, h):</t>
        </is>
      </c>
      <c r="B3" s="24" t="n">
        <v>45</v>
      </c>
      <c r="C3" s="25" t="inlineStr">
        <is>
          <t>← 노란 칸에 입력</t>
        </is>
      </c>
    </row>
    <row r="5" ht="30" customHeight="1">
      <c r="A5" s="8" t="inlineStr">
        <is>
          <t>팀원</t>
        </is>
      </c>
      <c r="B5" s="8" t="inlineStr">
        <is>
          <t>현재 부하율</t>
        </is>
      </c>
      <c r="C5" s="8" t="inlineStr">
        <is>
          <t>여력(h,월)</t>
        </is>
      </c>
      <c r="D5" s="8" t="inlineStr">
        <is>
          <t>상태</t>
        </is>
      </c>
      <c r="E5" s="8" t="inlineStr">
        <is>
          <t>수용 가능?</t>
        </is>
      </c>
      <c r="F5" s="8" t="inlineStr">
        <is>
          <t>여유 후 부하율</t>
        </is>
      </c>
      <c r="G5" s="8" t="inlineStr">
        <is>
          <t>비고</t>
        </is>
      </c>
    </row>
    <row r="6">
      <c r="A6" s="10">
        <f>'② 팀원별 부하'!A4</f>
        <v/>
      </c>
      <c r="B6" s="18">
        <f>'② 팀원별 부하'!G4</f>
        <v/>
      </c>
      <c r="C6" s="11">
        <f>'② 팀원별 부하'!H4</f>
        <v/>
      </c>
      <c r="D6" s="9">
        <f>'② 팀원별 부하'!I4</f>
        <v/>
      </c>
      <c r="E6" s="9">
        <f>IF(C6&gt;=$B$3,"✅ 가능","❌ 어려움")</f>
        <v/>
      </c>
      <c r="F6" s="18">
        <f>IFERROR(('② 팀원별 부하'!E4+$B$3)/'② 팀원별 부하'!D4,0)</f>
        <v/>
      </c>
      <c r="G6" s="10" t="inlineStr"/>
    </row>
    <row r="7">
      <c r="A7" s="13">
        <f>'② 팀원별 부하'!A5</f>
        <v/>
      </c>
      <c r="B7" s="19">
        <f>'② 팀원별 부하'!G5</f>
        <v/>
      </c>
      <c r="C7" s="14">
        <f>'② 팀원별 부하'!H5</f>
        <v/>
      </c>
      <c r="D7" s="12">
        <f>'② 팀원별 부하'!I5</f>
        <v/>
      </c>
      <c r="E7" s="12">
        <f>IF(C7&gt;=$B$3,"✅ 가능","❌ 어려움")</f>
        <v/>
      </c>
      <c r="F7" s="19">
        <f>IFERROR(('② 팀원별 부하'!E5+$B$3)/'② 팀원별 부하'!D5,0)</f>
        <v/>
      </c>
      <c r="G7" s="13" t="inlineStr"/>
    </row>
    <row r="8">
      <c r="A8" s="10">
        <f>'② 팀원별 부하'!A6</f>
        <v/>
      </c>
      <c r="B8" s="18">
        <f>'② 팀원별 부하'!G6</f>
        <v/>
      </c>
      <c r="C8" s="11">
        <f>'② 팀원별 부하'!H6</f>
        <v/>
      </c>
      <c r="D8" s="9">
        <f>'② 팀원별 부하'!I6</f>
        <v/>
      </c>
      <c r="E8" s="9">
        <f>IF(C8&gt;=$B$3,"✅ 가능","❌ 어려움")</f>
        <v/>
      </c>
      <c r="F8" s="18">
        <f>IFERROR(('② 팀원별 부하'!E6+$B$3)/'② 팀원별 부하'!D6,0)</f>
        <v/>
      </c>
      <c r="G8" s="10" t="inlineStr"/>
    </row>
    <row r="9">
      <c r="A9" s="13">
        <f>'② 팀원별 부하'!A7</f>
        <v/>
      </c>
      <c r="B9" s="19">
        <f>'② 팀원별 부하'!G7</f>
        <v/>
      </c>
      <c r="C9" s="14">
        <f>'② 팀원별 부하'!H7</f>
        <v/>
      </c>
      <c r="D9" s="12">
        <f>'② 팀원별 부하'!I7</f>
        <v/>
      </c>
      <c r="E9" s="12">
        <f>IF(C9&gt;=$B$3,"✅ 가능","❌ 어려움")</f>
        <v/>
      </c>
      <c r="F9" s="19">
        <f>IFERROR(('② 팀원별 부하'!E7+$B$3)/'② 팀원별 부하'!D7,0)</f>
        <v/>
      </c>
      <c r="G9" s="13" t="inlineStr"/>
    </row>
    <row r="10">
      <c r="A10" s="10">
        <f>'② 팀원별 부하'!A8</f>
        <v/>
      </c>
      <c r="B10" s="18">
        <f>'② 팀원별 부하'!G8</f>
        <v/>
      </c>
      <c r="C10" s="11">
        <f>'② 팀원별 부하'!H8</f>
        <v/>
      </c>
      <c r="D10" s="9">
        <f>'② 팀원별 부하'!I8</f>
        <v/>
      </c>
      <c r="E10" s="9">
        <f>IF(C10&gt;=$B$3,"✅ 가능","❌ 어려움")</f>
        <v/>
      </c>
      <c r="F10" s="18">
        <f>IFERROR(('② 팀원별 부하'!E8+$B$3)/'② 팀원별 부하'!D8,0)</f>
        <v/>
      </c>
      <c r="G10" s="10" t="inlineStr"/>
    </row>
    <row r="12">
      <c r="A12" s="26" t="inlineStr">
        <is>
          <t>💡 활용 팁</t>
        </is>
      </c>
    </row>
    <row r="13" ht="20" customHeight="1">
      <c r="A13" s="4" t="inlineStr">
        <is>
          <t>• 역량 매칭: 먼저 '① 업무마스터'의 '필요 역량/스킬'·'백업담당'을 보고 후보를 좁히세요.</t>
        </is>
      </c>
    </row>
    <row r="14" ht="20" customHeight="1">
      <c r="A14" s="4" t="inlineStr">
        <is>
          <t>• 대체 난이도가 '높음(전담 필수)'인 업무는 긴급 이관이 어렵습니다 — 백업담당 사전 양성이 핵심.</t>
        </is>
      </c>
    </row>
    <row r="15" ht="20" customHeight="1">
      <c r="A15" s="4" t="inlineStr">
        <is>
          <t>• '여유 후 부하율'이 100%를 넘으면(빨강) 그 사람도 과부하가 되므로 분할 배정을 검토하세요.</t>
        </is>
      </c>
    </row>
    <row r="16" ht="20" customHeight="1">
      <c r="A16" s="4" t="inlineStr">
        <is>
          <t>• 반복적으로 과부하가 잡히면 '자동화 가능' 업무부터 줄여 구조적으로 여력을 확보하세요.</t>
        </is>
      </c>
    </row>
  </sheetData>
  <mergeCells count="8">
    <mergeCell ref="A13:G13"/>
    <mergeCell ref="A14:G14"/>
    <mergeCell ref="A1:G1"/>
    <mergeCell ref="A12:G12"/>
    <mergeCell ref="A2:G2"/>
    <mergeCell ref="A16:G16"/>
    <mergeCell ref="A15:G15"/>
    <mergeCell ref="C3:D3"/>
  </mergeCells>
  <conditionalFormatting sqref="E6:E10">
    <cfRule type="expression" priority="1" dxfId="2">
      <formula>ISNUMBER(SEARCH("가능",E6))</formula>
    </cfRule>
    <cfRule type="expression" priority="2" dxfId="3">
      <formula>ISNUMBER(SEARCH("어려움",E6))</formula>
    </cfRule>
  </conditionalFormatting>
  <conditionalFormatting sqref="F6:F10">
    <cfRule type="cellIs" priority="3" operator="greaterThan" dxfId="0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O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34" customWidth="1" min="4" max="4"/>
    <col width="16" customWidth="1" min="5" max="5"/>
    <col width="16" customWidth="1" min="6" max="6"/>
    <col width="12" customWidth="1" min="7" max="7"/>
    <col width="11" customWidth="1" min="8" max="8"/>
    <col width="12" customWidth="1" min="9" max="9"/>
    <col width="11" customWidth="1" min="10" max="10"/>
    <col width="24" customWidth="1" min="11" max="11"/>
    <col width="16" customWidth="1" min="12" max="12"/>
    <col width="11" customWidth="1" min="13" max="13"/>
    <col width="7" customWidth="1" min="14" max="14"/>
    <col width="22" customWidth="1" min="15" max="15"/>
  </cols>
  <sheetData>
    <row r="1" ht="34" customHeight="1">
      <c r="A1" s="6" t="inlineStr">
        <is>
          <t>업무 마스터  ·  R&amp;R 정의표  (빈 템플릿 — 우리 팀 내용으로 채우세요)</t>
        </is>
      </c>
    </row>
    <row r="2" ht="30" customHeight="1">
      <c r="A2" s="7" t="inlineStr">
        <is>
          <t>입력 가이드  |  ① 회당 소요시간 + 주기만 넣으면 '월 환산 시간'이 자동 계산됩니다.  ② '수시' 업무는 '월 발생횟수(직접)' 칸에 한 달 평균 횟수를 직접 입력하세요.  ③ 주담당/백업담당/분류 등은 셀 클릭 시 드롭다운에서 선택.</t>
        </is>
      </c>
    </row>
    <row r="3" ht="34" customHeight="1">
      <c r="A3" s="8" t="inlineStr">
        <is>
          <t>No</t>
        </is>
      </c>
      <c r="B3" s="8" t="inlineStr">
        <is>
          <t>업무명</t>
        </is>
      </c>
      <c r="C3" s="8" t="inlineStr">
        <is>
          <t>업무분류</t>
        </is>
      </c>
      <c r="D3" s="8" t="inlineStr">
        <is>
          <t>업무 설명</t>
        </is>
      </c>
      <c r="E3" s="8" t="inlineStr">
        <is>
          <t>주담당</t>
        </is>
      </c>
      <c r="F3" s="8" t="inlineStr">
        <is>
          <t>백업담당</t>
        </is>
      </c>
      <c r="G3" s="8" t="inlineStr">
        <is>
          <t>주기</t>
        </is>
      </c>
      <c r="H3" s="8" t="inlineStr">
        <is>
          <t>회당
소요시간(h)</t>
        </is>
      </c>
      <c r="I3" s="8" t="inlineStr">
        <is>
          <t>월 발생횟수
(직접·수시용)</t>
        </is>
      </c>
      <c r="J3" s="8" t="inlineStr">
        <is>
          <t>월 환산
시간(h)</t>
        </is>
      </c>
      <c r="K3" s="8" t="inlineStr">
        <is>
          <t>필요 역량/스킬</t>
        </is>
      </c>
      <c r="L3" s="8" t="inlineStr">
        <is>
          <t>대체 난이도</t>
        </is>
      </c>
      <c r="M3" s="8" t="inlineStr">
        <is>
          <t>자동화
가능성</t>
        </is>
      </c>
      <c r="N3" s="8" t="inlineStr">
        <is>
          <t>우선
순위</t>
        </is>
      </c>
      <c r="O3" s="8" t="inlineStr">
        <is>
          <t>비고</t>
        </is>
      </c>
    </row>
    <row r="4">
      <c r="A4" s="9">
        <f>IF($B4="","",ROW()-3)</f>
        <v/>
      </c>
      <c r="B4" s="10" t="n"/>
      <c r="C4" s="10" t="n"/>
      <c r="D4" s="10" t="n"/>
      <c r="E4" s="10" t="n"/>
      <c r="F4" s="10" t="n"/>
      <c r="G4" s="9" t="n"/>
      <c r="H4" s="11" t="n"/>
      <c r="I4" s="11" t="n"/>
      <c r="J4" s="11">
        <f>IF($B4="","",$H4*IF($I4&lt;&gt;"",$I4,IFERROR(VLOOKUP($G4,주기표,2,FALSE),0)))</f>
        <v/>
      </c>
      <c r="K4" s="10" t="n"/>
      <c r="L4" s="10" t="n"/>
      <c r="M4" s="9" t="n"/>
      <c r="N4" s="9" t="n"/>
      <c r="O4" s="10" t="n"/>
    </row>
    <row r="5">
      <c r="A5" s="12">
        <f>IF($B5="","",ROW()-3)</f>
        <v/>
      </c>
      <c r="B5" s="13" t="n"/>
      <c r="C5" s="13" t="n"/>
      <c r="D5" s="13" t="n"/>
      <c r="E5" s="13" t="n"/>
      <c r="F5" s="13" t="n"/>
      <c r="G5" s="12" t="n"/>
      <c r="H5" s="14" t="n"/>
      <c r="I5" s="14" t="n"/>
      <c r="J5" s="14">
        <f>IF($B5="","",$H5*IF($I5&lt;&gt;"",$I5,IFERROR(VLOOKUP($G5,주기표,2,FALSE),0)))</f>
        <v/>
      </c>
      <c r="K5" s="13" t="n"/>
      <c r="L5" s="13" t="n"/>
      <c r="M5" s="12" t="n"/>
      <c r="N5" s="12" t="n"/>
      <c r="O5" s="13" t="n"/>
    </row>
    <row r="6">
      <c r="A6" s="9">
        <f>IF($B6="","",ROW()-3)</f>
        <v/>
      </c>
      <c r="B6" s="10" t="n"/>
      <c r="C6" s="10" t="n"/>
      <c r="D6" s="10" t="n"/>
      <c r="E6" s="10" t="n"/>
      <c r="F6" s="10" t="n"/>
      <c r="G6" s="9" t="n"/>
      <c r="H6" s="11" t="n"/>
      <c r="I6" s="11" t="n"/>
      <c r="J6" s="11">
        <f>IF($B6="","",$H6*IF($I6&lt;&gt;"",$I6,IFERROR(VLOOKUP($G6,주기표,2,FALSE),0)))</f>
        <v/>
      </c>
      <c r="K6" s="10" t="n"/>
      <c r="L6" s="10" t="n"/>
      <c r="M6" s="9" t="n"/>
      <c r="N6" s="9" t="n"/>
      <c r="O6" s="10" t="n"/>
    </row>
    <row r="7">
      <c r="A7" s="12">
        <f>IF($B7="","",ROW()-3)</f>
        <v/>
      </c>
      <c r="B7" s="13" t="n"/>
      <c r="C7" s="13" t="n"/>
      <c r="D7" s="13" t="n"/>
      <c r="E7" s="13" t="n"/>
      <c r="F7" s="13" t="n"/>
      <c r="G7" s="12" t="n"/>
      <c r="H7" s="14" t="n"/>
      <c r="I7" s="14" t="n"/>
      <c r="J7" s="14">
        <f>IF($B7="","",$H7*IF($I7&lt;&gt;"",$I7,IFERROR(VLOOKUP($G7,주기표,2,FALSE),0)))</f>
        <v/>
      </c>
      <c r="K7" s="13" t="n"/>
      <c r="L7" s="13" t="n"/>
      <c r="M7" s="12" t="n"/>
      <c r="N7" s="12" t="n"/>
      <c r="O7" s="13" t="n"/>
    </row>
    <row r="8">
      <c r="A8" s="9">
        <f>IF($B8="","",ROW()-3)</f>
        <v/>
      </c>
      <c r="B8" s="10" t="n"/>
      <c r="C8" s="10" t="n"/>
      <c r="D8" s="10" t="n"/>
      <c r="E8" s="10" t="n"/>
      <c r="F8" s="10" t="n"/>
      <c r="G8" s="9" t="n"/>
      <c r="H8" s="11" t="n"/>
      <c r="I8" s="11" t="n"/>
      <c r="J8" s="11">
        <f>IF($B8="","",$H8*IF($I8&lt;&gt;"",$I8,IFERROR(VLOOKUP($G8,주기표,2,FALSE),0)))</f>
        <v/>
      </c>
      <c r="K8" s="10" t="n"/>
      <c r="L8" s="10" t="n"/>
      <c r="M8" s="9" t="n"/>
      <c r="N8" s="9" t="n"/>
      <c r="O8" s="10" t="n"/>
    </row>
    <row r="9">
      <c r="A9" s="12">
        <f>IF($B9="","",ROW()-3)</f>
        <v/>
      </c>
      <c r="B9" s="13" t="n"/>
      <c r="C9" s="13" t="n"/>
      <c r="D9" s="13" t="n"/>
      <c r="E9" s="13" t="n"/>
      <c r="F9" s="13" t="n"/>
      <c r="G9" s="12" t="n"/>
      <c r="H9" s="14" t="n"/>
      <c r="I9" s="14" t="n"/>
      <c r="J9" s="14">
        <f>IF($B9="","",$H9*IF($I9&lt;&gt;"",$I9,IFERROR(VLOOKUP($G9,주기표,2,FALSE),0)))</f>
        <v/>
      </c>
      <c r="K9" s="13" t="n"/>
      <c r="L9" s="13" t="n"/>
      <c r="M9" s="12" t="n"/>
      <c r="N9" s="12" t="n"/>
      <c r="O9" s="13" t="n"/>
    </row>
    <row r="10">
      <c r="A10" s="9">
        <f>IF($B10="","",ROW()-3)</f>
        <v/>
      </c>
      <c r="B10" s="10" t="n"/>
      <c r="C10" s="10" t="n"/>
      <c r="D10" s="10" t="n"/>
      <c r="E10" s="10" t="n"/>
      <c r="F10" s="10" t="n"/>
      <c r="G10" s="9" t="n"/>
      <c r="H10" s="11" t="n"/>
      <c r="I10" s="11" t="n"/>
      <c r="J10" s="11">
        <f>IF($B10="","",$H10*IF($I10&lt;&gt;"",$I10,IFERROR(VLOOKUP($G10,주기표,2,FALSE),0)))</f>
        <v/>
      </c>
      <c r="K10" s="10" t="n"/>
      <c r="L10" s="10" t="n"/>
      <c r="M10" s="9" t="n"/>
      <c r="N10" s="9" t="n"/>
      <c r="O10" s="10" t="n"/>
    </row>
    <row r="11">
      <c r="A11" s="12">
        <f>IF($B11="","",ROW()-3)</f>
        <v/>
      </c>
      <c r="B11" s="13" t="n"/>
      <c r="C11" s="13" t="n"/>
      <c r="D11" s="13" t="n"/>
      <c r="E11" s="13" t="n"/>
      <c r="F11" s="13" t="n"/>
      <c r="G11" s="12" t="n"/>
      <c r="H11" s="14" t="n"/>
      <c r="I11" s="14" t="n"/>
      <c r="J11" s="14">
        <f>IF($B11="","",$H11*IF($I11&lt;&gt;"",$I11,IFERROR(VLOOKUP($G11,주기표,2,FALSE),0)))</f>
        <v/>
      </c>
      <c r="K11" s="13" t="n"/>
      <c r="L11" s="13" t="n"/>
      <c r="M11" s="12" t="n"/>
      <c r="N11" s="12" t="n"/>
      <c r="O11" s="13" t="n"/>
    </row>
    <row r="12">
      <c r="A12" s="9">
        <f>IF($B12="","",ROW()-3)</f>
        <v/>
      </c>
      <c r="B12" s="10" t="n"/>
      <c r="C12" s="10" t="n"/>
      <c r="D12" s="10" t="n"/>
      <c r="E12" s="10" t="n"/>
      <c r="F12" s="10" t="n"/>
      <c r="G12" s="9" t="n"/>
      <c r="H12" s="11" t="n"/>
      <c r="I12" s="11" t="n"/>
      <c r="J12" s="11">
        <f>IF($B12="","",$H12*IF($I12&lt;&gt;"",$I12,IFERROR(VLOOKUP($G12,주기표,2,FALSE),0)))</f>
        <v/>
      </c>
      <c r="K12" s="10" t="n"/>
      <c r="L12" s="10" t="n"/>
      <c r="M12" s="9" t="n"/>
      <c r="N12" s="9" t="n"/>
      <c r="O12" s="10" t="n"/>
    </row>
    <row r="13">
      <c r="A13" s="12">
        <f>IF($B13="","",ROW()-3)</f>
        <v/>
      </c>
      <c r="B13" s="13" t="n"/>
      <c r="C13" s="13" t="n"/>
      <c r="D13" s="13" t="n"/>
      <c r="E13" s="13" t="n"/>
      <c r="F13" s="13" t="n"/>
      <c r="G13" s="12" t="n"/>
      <c r="H13" s="14" t="n"/>
      <c r="I13" s="14" t="n"/>
      <c r="J13" s="14">
        <f>IF($B13="","",$H13*IF($I13&lt;&gt;"",$I13,IFERROR(VLOOKUP($G13,주기표,2,FALSE),0)))</f>
        <v/>
      </c>
      <c r="K13" s="13" t="n"/>
      <c r="L13" s="13" t="n"/>
      <c r="M13" s="12" t="n"/>
      <c r="N13" s="12" t="n"/>
      <c r="O13" s="13" t="n"/>
    </row>
    <row r="14">
      <c r="A14" s="9">
        <f>IF($B14="","",ROW()-3)</f>
        <v/>
      </c>
      <c r="B14" s="10" t="n"/>
      <c r="C14" s="10" t="n"/>
      <c r="D14" s="10" t="n"/>
      <c r="E14" s="10" t="n"/>
      <c r="F14" s="10" t="n"/>
      <c r="G14" s="9" t="n"/>
      <c r="H14" s="11" t="n"/>
      <c r="I14" s="11" t="n"/>
      <c r="J14" s="11">
        <f>IF($B14="","",$H14*IF($I14&lt;&gt;"",$I14,IFERROR(VLOOKUP($G14,주기표,2,FALSE),0)))</f>
        <v/>
      </c>
      <c r="K14" s="10" t="n"/>
      <c r="L14" s="10" t="n"/>
      <c r="M14" s="9" t="n"/>
      <c r="N14" s="9" t="n"/>
      <c r="O14" s="10" t="n"/>
    </row>
    <row r="15">
      <c r="A15" s="12">
        <f>IF($B15="","",ROW()-3)</f>
        <v/>
      </c>
      <c r="B15" s="13" t="n"/>
      <c r="C15" s="13" t="n"/>
      <c r="D15" s="13" t="n"/>
      <c r="E15" s="13" t="n"/>
      <c r="F15" s="13" t="n"/>
      <c r="G15" s="12" t="n"/>
      <c r="H15" s="14" t="n"/>
      <c r="I15" s="14" t="n"/>
      <c r="J15" s="14">
        <f>IF($B15="","",$H15*IF($I15&lt;&gt;"",$I15,IFERROR(VLOOKUP($G15,주기표,2,FALSE),0)))</f>
        <v/>
      </c>
      <c r="K15" s="13" t="n"/>
      <c r="L15" s="13" t="n"/>
      <c r="M15" s="12" t="n"/>
      <c r="N15" s="12" t="n"/>
      <c r="O15" s="13" t="n"/>
    </row>
    <row r="16">
      <c r="A16" s="9">
        <f>IF($B16="","",ROW()-3)</f>
        <v/>
      </c>
      <c r="B16" s="10" t="n"/>
      <c r="C16" s="10" t="n"/>
      <c r="D16" s="10" t="n"/>
      <c r="E16" s="10" t="n"/>
      <c r="F16" s="10" t="n"/>
      <c r="G16" s="9" t="n"/>
      <c r="H16" s="11" t="n"/>
      <c r="I16" s="11" t="n"/>
      <c r="J16" s="11">
        <f>IF($B16="","",$H16*IF($I16&lt;&gt;"",$I16,IFERROR(VLOOKUP($G16,주기표,2,FALSE),0)))</f>
        <v/>
      </c>
      <c r="K16" s="10" t="n"/>
      <c r="L16" s="10" t="n"/>
      <c r="M16" s="9" t="n"/>
      <c r="N16" s="9" t="n"/>
      <c r="O16" s="10" t="n"/>
    </row>
    <row r="17">
      <c r="A17" s="12">
        <f>IF($B17="","",ROW()-3)</f>
        <v/>
      </c>
      <c r="B17" s="13" t="n"/>
      <c r="C17" s="13" t="n"/>
      <c r="D17" s="13" t="n"/>
      <c r="E17" s="13" t="n"/>
      <c r="F17" s="13" t="n"/>
      <c r="G17" s="12" t="n"/>
      <c r="H17" s="14" t="n"/>
      <c r="I17" s="14" t="n"/>
      <c r="J17" s="14">
        <f>IF($B17="","",$H17*IF($I17&lt;&gt;"",$I17,IFERROR(VLOOKUP($G17,주기표,2,FALSE),0)))</f>
        <v/>
      </c>
      <c r="K17" s="13" t="n"/>
      <c r="L17" s="13" t="n"/>
      <c r="M17" s="12" t="n"/>
      <c r="N17" s="12" t="n"/>
      <c r="O17" s="13" t="n"/>
    </row>
    <row r="18">
      <c r="A18" s="9">
        <f>IF($B18="","",ROW()-3)</f>
        <v/>
      </c>
      <c r="B18" s="10" t="n"/>
      <c r="C18" s="10" t="n"/>
      <c r="D18" s="10" t="n"/>
      <c r="E18" s="10" t="n"/>
      <c r="F18" s="10" t="n"/>
      <c r="G18" s="9" t="n"/>
      <c r="H18" s="11" t="n"/>
      <c r="I18" s="11" t="n"/>
      <c r="J18" s="11">
        <f>IF($B18="","",$H18*IF($I18&lt;&gt;"",$I18,IFERROR(VLOOKUP($G18,주기표,2,FALSE),0)))</f>
        <v/>
      </c>
      <c r="K18" s="10" t="n"/>
      <c r="L18" s="10" t="n"/>
      <c r="M18" s="9" t="n"/>
      <c r="N18" s="9" t="n"/>
      <c r="O18" s="10" t="n"/>
    </row>
    <row r="19">
      <c r="A19" s="12">
        <f>IF($B19="","",ROW()-3)</f>
        <v/>
      </c>
      <c r="B19" s="13" t="n"/>
      <c r="C19" s="13" t="n"/>
      <c r="D19" s="13" t="n"/>
      <c r="E19" s="13" t="n"/>
      <c r="F19" s="13" t="n"/>
      <c r="G19" s="12" t="n"/>
      <c r="H19" s="14" t="n"/>
      <c r="I19" s="14" t="n"/>
      <c r="J19" s="14">
        <f>IF($B19="","",$H19*IF($I19&lt;&gt;"",$I19,IFERROR(VLOOKUP($G19,주기표,2,FALSE),0)))</f>
        <v/>
      </c>
      <c r="K19" s="13" t="n"/>
      <c r="L19" s="13" t="n"/>
      <c r="M19" s="12" t="n"/>
      <c r="N19" s="12" t="n"/>
      <c r="O19" s="13" t="n"/>
    </row>
    <row r="20">
      <c r="A20" s="9">
        <f>IF($B20="","",ROW()-3)</f>
        <v/>
      </c>
      <c r="B20" s="10" t="n"/>
      <c r="C20" s="10" t="n"/>
      <c r="D20" s="10" t="n"/>
      <c r="E20" s="10" t="n"/>
      <c r="F20" s="10" t="n"/>
      <c r="G20" s="9" t="n"/>
      <c r="H20" s="11" t="n"/>
      <c r="I20" s="11" t="n"/>
      <c r="J20" s="11">
        <f>IF($B20="","",$H20*IF($I20&lt;&gt;"",$I20,IFERROR(VLOOKUP($G20,주기표,2,FALSE),0)))</f>
        <v/>
      </c>
      <c r="K20" s="10" t="n"/>
      <c r="L20" s="10" t="n"/>
      <c r="M20" s="9" t="n"/>
      <c r="N20" s="9" t="n"/>
      <c r="O20" s="10" t="n"/>
    </row>
    <row r="21">
      <c r="A21" s="12">
        <f>IF($B21="","",ROW()-3)</f>
        <v/>
      </c>
      <c r="B21" s="13" t="n"/>
      <c r="C21" s="13" t="n"/>
      <c r="D21" s="13" t="n"/>
      <c r="E21" s="13" t="n"/>
      <c r="F21" s="13" t="n"/>
      <c r="G21" s="12" t="n"/>
      <c r="H21" s="14" t="n"/>
      <c r="I21" s="14" t="n"/>
      <c r="J21" s="14">
        <f>IF($B21="","",$H21*IF($I21&lt;&gt;"",$I21,IFERROR(VLOOKUP($G21,주기표,2,FALSE),0)))</f>
        <v/>
      </c>
      <c r="K21" s="13" t="n"/>
      <c r="L21" s="13" t="n"/>
      <c r="M21" s="12" t="n"/>
      <c r="N21" s="12" t="n"/>
      <c r="O21" s="13" t="n"/>
    </row>
    <row r="22">
      <c r="A22" s="9">
        <f>IF($B22="","",ROW()-3)</f>
        <v/>
      </c>
      <c r="B22" s="10" t="n"/>
      <c r="C22" s="10" t="n"/>
      <c r="D22" s="10" t="n"/>
      <c r="E22" s="10" t="n"/>
      <c r="F22" s="10" t="n"/>
      <c r="G22" s="9" t="n"/>
      <c r="H22" s="11" t="n"/>
      <c r="I22" s="11" t="n"/>
      <c r="J22" s="11">
        <f>IF($B22="","",$H22*IF($I22&lt;&gt;"",$I22,IFERROR(VLOOKUP($G22,주기표,2,FALSE),0)))</f>
        <v/>
      </c>
      <c r="K22" s="10" t="n"/>
      <c r="L22" s="10" t="n"/>
      <c r="M22" s="9" t="n"/>
      <c r="N22" s="9" t="n"/>
      <c r="O22" s="10" t="n"/>
    </row>
    <row r="23">
      <c r="A23" s="12">
        <f>IF($B23="","",ROW()-3)</f>
        <v/>
      </c>
      <c r="B23" s="13" t="n"/>
      <c r="C23" s="13" t="n"/>
      <c r="D23" s="13" t="n"/>
      <c r="E23" s="13" t="n"/>
      <c r="F23" s="13" t="n"/>
      <c r="G23" s="12" t="n"/>
      <c r="H23" s="14" t="n"/>
      <c r="I23" s="14" t="n"/>
      <c r="J23" s="14">
        <f>IF($B23="","",$H23*IF($I23&lt;&gt;"",$I23,IFERROR(VLOOKUP($G23,주기표,2,FALSE),0)))</f>
        <v/>
      </c>
      <c r="K23" s="13" t="n"/>
      <c r="L23" s="13" t="n"/>
      <c r="M23" s="12" t="n"/>
      <c r="N23" s="12" t="n"/>
      <c r="O23" s="13" t="n"/>
    </row>
    <row r="24">
      <c r="A24" s="9">
        <f>IF($B24="","",ROW()-3)</f>
        <v/>
      </c>
      <c r="B24" s="10" t="n"/>
      <c r="C24" s="10" t="n"/>
      <c r="D24" s="10" t="n"/>
      <c r="E24" s="10" t="n"/>
      <c r="F24" s="10" t="n"/>
      <c r="G24" s="9" t="n"/>
      <c r="H24" s="11" t="n"/>
      <c r="I24" s="11" t="n"/>
      <c r="J24" s="11">
        <f>IF($B24="","",$H24*IF($I24&lt;&gt;"",$I24,IFERROR(VLOOKUP($G24,주기표,2,FALSE),0)))</f>
        <v/>
      </c>
      <c r="K24" s="10" t="n"/>
      <c r="L24" s="10" t="n"/>
      <c r="M24" s="9" t="n"/>
      <c r="N24" s="9" t="n"/>
      <c r="O24" s="10" t="n"/>
    </row>
    <row r="25">
      <c r="A25" s="12">
        <f>IF($B25="","",ROW()-3)</f>
        <v/>
      </c>
      <c r="B25" s="13" t="n"/>
      <c r="C25" s="13" t="n"/>
      <c r="D25" s="13" t="n"/>
      <c r="E25" s="13" t="n"/>
      <c r="F25" s="13" t="n"/>
      <c r="G25" s="12" t="n"/>
      <c r="H25" s="14" t="n"/>
      <c r="I25" s="14" t="n"/>
      <c r="J25" s="14">
        <f>IF($B25="","",$H25*IF($I25&lt;&gt;"",$I25,IFERROR(VLOOKUP($G25,주기표,2,FALSE),0)))</f>
        <v/>
      </c>
      <c r="K25" s="13" t="n"/>
      <c r="L25" s="13" t="n"/>
      <c r="M25" s="12" t="n"/>
      <c r="N25" s="12" t="n"/>
      <c r="O25" s="13" t="n"/>
    </row>
    <row r="26">
      <c r="A26" s="9">
        <f>IF($B26="","",ROW()-3)</f>
        <v/>
      </c>
      <c r="B26" s="10" t="n"/>
      <c r="C26" s="10" t="n"/>
      <c r="D26" s="10" t="n"/>
      <c r="E26" s="10" t="n"/>
      <c r="F26" s="10" t="n"/>
      <c r="G26" s="9" t="n"/>
      <c r="H26" s="11" t="n"/>
      <c r="I26" s="11" t="n"/>
      <c r="J26" s="11">
        <f>IF($B26="","",$H26*IF($I26&lt;&gt;"",$I26,IFERROR(VLOOKUP($G26,주기표,2,FALSE),0)))</f>
        <v/>
      </c>
      <c r="K26" s="10" t="n"/>
      <c r="L26" s="10" t="n"/>
      <c r="M26" s="9" t="n"/>
      <c r="N26" s="9" t="n"/>
      <c r="O26" s="10" t="n"/>
    </row>
    <row r="27">
      <c r="A27" s="12">
        <f>IF($B27="","",ROW()-3)</f>
        <v/>
      </c>
      <c r="B27" s="13" t="n"/>
      <c r="C27" s="13" t="n"/>
      <c r="D27" s="13" t="n"/>
      <c r="E27" s="13" t="n"/>
      <c r="F27" s="13" t="n"/>
      <c r="G27" s="12" t="n"/>
      <c r="H27" s="14" t="n"/>
      <c r="I27" s="14" t="n"/>
      <c r="J27" s="14">
        <f>IF($B27="","",$H27*IF($I27&lt;&gt;"",$I27,IFERROR(VLOOKUP($G27,주기표,2,FALSE),0)))</f>
        <v/>
      </c>
      <c r="K27" s="13" t="n"/>
      <c r="L27" s="13" t="n"/>
      <c r="M27" s="12" t="n"/>
      <c r="N27" s="12" t="n"/>
      <c r="O27" s="13" t="n"/>
    </row>
    <row r="28">
      <c r="A28" s="9">
        <f>IF($B28="","",ROW()-3)</f>
        <v/>
      </c>
      <c r="B28" s="10" t="n"/>
      <c r="C28" s="10" t="n"/>
      <c r="D28" s="10" t="n"/>
      <c r="E28" s="10" t="n"/>
      <c r="F28" s="10" t="n"/>
      <c r="G28" s="9" t="n"/>
      <c r="H28" s="11" t="n"/>
      <c r="I28" s="11" t="n"/>
      <c r="J28" s="11">
        <f>IF($B28="","",$H28*IF($I28&lt;&gt;"",$I28,IFERROR(VLOOKUP($G28,주기표,2,FALSE),0)))</f>
        <v/>
      </c>
      <c r="K28" s="10" t="n"/>
      <c r="L28" s="10" t="n"/>
      <c r="M28" s="9" t="n"/>
      <c r="N28" s="9" t="n"/>
      <c r="O28" s="10" t="n"/>
    </row>
    <row r="29">
      <c r="A29" s="12">
        <f>IF($B29="","",ROW()-3)</f>
        <v/>
      </c>
      <c r="B29" s="13" t="n"/>
      <c r="C29" s="13" t="n"/>
      <c r="D29" s="13" t="n"/>
      <c r="E29" s="13" t="n"/>
      <c r="F29" s="13" t="n"/>
      <c r="G29" s="12" t="n"/>
      <c r="H29" s="14" t="n"/>
      <c r="I29" s="14" t="n"/>
      <c r="J29" s="14">
        <f>IF($B29="","",$H29*IF($I29&lt;&gt;"",$I29,IFERROR(VLOOKUP($G29,주기표,2,FALSE),0)))</f>
        <v/>
      </c>
      <c r="K29" s="13" t="n"/>
      <c r="L29" s="13" t="n"/>
      <c r="M29" s="12" t="n"/>
      <c r="N29" s="12" t="n"/>
      <c r="O29" s="13" t="n"/>
    </row>
    <row r="30">
      <c r="A30" s="9">
        <f>IF($B30="","",ROW()-3)</f>
        <v/>
      </c>
      <c r="B30" s="10" t="n"/>
      <c r="C30" s="10" t="n"/>
      <c r="D30" s="10" t="n"/>
      <c r="E30" s="10" t="n"/>
      <c r="F30" s="10" t="n"/>
      <c r="G30" s="9" t="n"/>
      <c r="H30" s="11" t="n"/>
      <c r="I30" s="11" t="n"/>
      <c r="J30" s="11">
        <f>IF($B30="","",$H30*IF($I30&lt;&gt;"",$I30,IFERROR(VLOOKUP($G30,주기표,2,FALSE),0)))</f>
        <v/>
      </c>
      <c r="K30" s="10" t="n"/>
      <c r="L30" s="10" t="n"/>
      <c r="M30" s="9" t="n"/>
      <c r="N30" s="9" t="n"/>
      <c r="O30" s="10" t="n"/>
    </row>
    <row r="31">
      <c r="A31" s="12">
        <f>IF($B31="","",ROW()-3)</f>
        <v/>
      </c>
      <c r="B31" s="13" t="n"/>
      <c r="C31" s="13" t="n"/>
      <c r="D31" s="13" t="n"/>
      <c r="E31" s="13" t="n"/>
      <c r="F31" s="13" t="n"/>
      <c r="G31" s="12" t="n"/>
      <c r="H31" s="14" t="n"/>
      <c r="I31" s="14" t="n"/>
      <c r="J31" s="14">
        <f>IF($B31="","",$H31*IF($I31&lt;&gt;"",$I31,IFERROR(VLOOKUP($G31,주기표,2,FALSE),0)))</f>
        <v/>
      </c>
      <c r="K31" s="13" t="n"/>
      <c r="L31" s="13" t="n"/>
      <c r="M31" s="12" t="n"/>
      <c r="N31" s="12" t="n"/>
      <c r="O31" s="13" t="n"/>
    </row>
    <row r="32">
      <c r="A32" s="9">
        <f>IF($B32="","",ROW()-3)</f>
        <v/>
      </c>
      <c r="B32" s="10" t="n"/>
      <c r="C32" s="10" t="n"/>
      <c r="D32" s="10" t="n"/>
      <c r="E32" s="10" t="n"/>
      <c r="F32" s="10" t="n"/>
      <c r="G32" s="9" t="n"/>
      <c r="H32" s="11" t="n"/>
      <c r="I32" s="11" t="n"/>
      <c r="J32" s="11">
        <f>IF($B32="","",$H32*IF($I32&lt;&gt;"",$I32,IFERROR(VLOOKUP($G32,주기표,2,FALSE),0)))</f>
        <v/>
      </c>
      <c r="K32" s="10" t="n"/>
      <c r="L32" s="10" t="n"/>
      <c r="M32" s="9" t="n"/>
      <c r="N32" s="9" t="n"/>
      <c r="O32" s="10" t="n"/>
    </row>
    <row r="33">
      <c r="A33" s="12">
        <f>IF($B33="","",ROW()-3)</f>
        <v/>
      </c>
      <c r="B33" s="13" t="n"/>
      <c r="C33" s="13" t="n"/>
      <c r="D33" s="13" t="n"/>
      <c r="E33" s="13" t="n"/>
      <c r="F33" s="13" t="n"/>
      <c r="G33" s="12" t="n"/>
      <c r="H33" s="14" t="n"/>
      <c r="I33" s="14" t="n"/>
      <c r="J33" s="14">
        <f>IF($B33="","",$H33*IF($I33&lt;&gt;"",$I33,IFERROR(VLOOKUP($G33,주기표,2,FALSE),0)))</f>
        <v/>
      </c>
      <c r="K33" s="13" t="n"/>
      <c r="L33" s="13" t="n"/>
      <c r="M33" s="12" t="n"/>
      <c r="N33" s="12" t="n"/>
      <c r="O33" s="13" t="n"/>
    </row>
    <row r="34">
      <c r="A34" s="15" t="inlineStr"/>
      <c r="B34" s="16" t="inlineStr">
        <is>
          <t>합계 / 월 총 투입시간</t>
        </is>
      </c>
      <c r="C34" s="15" t="n"/>
      <c r="D34" s="15" t="n"/>
      <c r="E34" s="15" t="n"/>
      <c r="F34" s="15" t="n"/>
      <c r="G34" s="15" t="n"/>
      <c r="H34" s="15" t="n"/>
      <c r="I34" s="15" t="n"/>
      <c r="J34" s="17">
        <f>SUM(J4:J33)</f>
        <v/>
      </c>
      <c r="K34" s="15" t="n"/>
      <c r="L34" s="15" t="n"/>
      <c r="M34" s="15" t="n"/>
      <c r="N34" s="15" t="n"/>
      <c r="O34" s="15" t="n"/>
    </row>
  </sheetData>
  <mergeCells count="2">
    <mergeCell ref="A1:O1"/>
    <mergeCell ref="A2:O2"/>
  </mergeCells>
  <conditionalFormatting sqref="N4:N33">
    <cfRule type="cellIs" priority="1" operator="equal" dxfId="0">
      <formula>"상"</formula>
    </cfRule>
  </conditionalFormatting>
  <conditionalFormatting sqref="L4:L33">
    <cfRule type="cellIs" priority="2" operator="equal" dxfId="1">
      <formula>"높음(전담 필수)"</formula>
    </cfRule>
  </conditionalFormatting>
  <dataValidations count="7">
    <dataValidation sqref="C4:C33" showDropDown="0" showInputMessage="0" showErrorMessage="0" allowBlank="1" errorTitle="입력값 확인" error="목록에서 선택하세요" type="list">
      <formula1>=목록_분류</formula1>
    </dataValidation>
    <dataValidation sqref="E4:E33" showDropDown="0" showInputMessage="0" showErrorMessage="0" allowBlank="1" errorTitle="입력값 확인" error="목록에서 선택하세요" type="list">
      <formula1>=목록_팀원</formula1>
    </dataValidation>
    <dataValidation sqref="F4:F33" showDropDown="0" showInputMessage="0" showErrorMessage="0" allowBlank="1" errorTitle="입력값 확인" error="목록에서 선택하세요" type="list">
      <formula1>=목록_팀원</formula1>
    </dataValidation>
    <dataValidation sqref="G4:G33" showDropDown="0" showInputMessage="0" showErrorMessage="0" allowBlank="1" errorTitle="입력값 확인" error="목록에서 선택하세요" type="list">
      <formula1>=목록_주기</formula1>
    </dataValidation>
    <dataValidation sqref="L4:L33" showDropDown="0" showInputMessage="0" showErrorMessage="0" allowBlank="1" errorTitle="입력값 확인" error="목록에서 선택하세요" type="list">
      <formula1>=목록_난이도</formula1>
    </dataValidation>
    <dataValidation sqref="M4:M33" showDropDown="0" showInputMessage="0" showErrorMessage="0" allowBlank="1" errorTitle="입력값 확인" error="목록에서 선택하세요" type="list">
      <formula1>=목록_자동화</formula1>
    </dataValidation>
    <dataValidation sqref="N4:N33" showDropDown="0" showInputMessage="0" showErrorMessage="0" allowBlank="1" errorTitle="입력값 확인" error="목록에서 선택하세요" type="list">
      <formula1>=목록_우선순위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주기</t>
        </is>
      </c>
      <c r="B1" t="inlineStr">
        <is>
          <t>월 발생횟수</t>
        </is>
      </c>
      <c r="D1" t="inlineStr">
        <is>
          <t>업무분류</t>
        </is>
      </c>
      <c r="E1" t="inlineStr">
        <is>
          <t>대체난이도</t>
        </is>
      </c>
      <c r="F1" t="inlineStr">
        <is>
          <t>자동화</t>
        </is>
      </c>
      <c r="G1" t="inlineStr">
        <is>
          <t>우선순위</t>
        </is>
      </c>
      <c r="H1" t="inlineStr">
        <is>
          <t>팀원</t>
        </is>
      </c>
      <c r="I1" t="inlineStr">
        <is>
          <t>주기리스트</t>
        </is>
      </c>
    </row>
    <row r="2">
      <c r="A2" t="inlineStr">
        <is>
          <t>매일</t>
        </is>
      </c>
      <c r="B2" t="n">
        <v>21</v>
      </c>
      <c r="D2" t="inlineStr">
        <is>
          <t>기획</t>
        </is>
      </c>
      <c r="E2" t="inlineStr">
        <is>
          <t>낮음(누구나 가능)</t>
        </is>
      </c>
      <c r="F2" t="inlineStr">
        <is>
          <t>가능</t>
        </is>
      </c>
      <c r="G2" t="inlineStr">
        <is>
          <t>상</t>
        </is>
      </c>
      <c r="H2" t="inlineStr">
        <is>
          <t>김지원(팀장/PM)</t>
        </is>
      </c>
      <c r="I2" t="inlineStr">
        <is>
          <t>매일</t>
        </is>
      </c>
    </row>
    <row r="3">
      <c r="A3" t="inlineStr">
        <is>
          <t>주3회</t>
        </is>
      </c>
      <c r="B3" t="n">
        <v>13</v>
      </c>
      <c r="D3" t="inlineStr">
        <is>
          <t>운영</t>
        </is>
      </c>
      <c r="E3" t="inlineStr">
        <is>
          <t>중간(인수인계 필요)</t>
        </is>
      </c>
      <c r="F3" t="inlineStr">
        <is>
          <t>일부 가능</t>
        </is>
      </c>
      <c r="G3" t="inlineStr">
        <is>
          <t>중</t>
        </is>
      </c>
      <c r="H3" t="inlineStr">
        <is>
          <t>이서연(서비스기획)</t>
        </is>
      </c>
      <c r="I3" t="inlineStr">
        <is>
          <t>주3회</t>
        </is>
      </c>
    </row>
    <row r="4">
      <c r="A4" t="inlineStr">
        <is>
          <t>주2회</t>
        </is>
      </c>
      <c r="B4" t="n">
        <v>8.67</v>
      </c>
      <c r="D4" t="inlineStr">
        <is>
          <t>데이터/지표</t>
        </is>
      </c>
      <c r="E4" t="inlineStr">
        <is>
          <t>높음(전담 필수)</t>
        </is>
      </c>
      <c r="F4" t="inlineStr">
        <is>
          <t>불가</t>
        </is>
      </c>
      <c r="G4" t="inlineStr">
        <is>
          <t>하</t>
        </is>
      </c>
      <c r="H4" t="inlineStr">
        <is>
          <t>박민준(운영매니저)</t>
        </is>
      </c>
      <c r="I4" t="inlineStr">
        <is>
          <t>주2회</t>
        </is>
      </c>
    </row>
    <row r="5">
      <c r="A5" t="inlineStr">
        <is>
          <t>주간(주1회)</t>
        </is>
      </c>
      <c r="B5" t="n">
        <v>4.33</v>
      </c>
      <c r="D5" t="inlineStr">
        <is>
          <t>유관협업</t>
        </is>
      </c>
      <c r="H5" t="inlineStr">
        <is>
          <t>최유나(데이터/지표)</t>
        </is>
      </c>
      <c r="I5" t="inlineStr">
        <is>
          <t>주간(주1회)</t>
        </is>
      </c>
    </row>
    <row r="6">
      <c r="A6" t="inlineStr">
        <is>
          <t>격주</t>
        </is>
      </c>
      <c r="B6" t="n">
        <v>2.17</v>
      </c>
      <c r="D6" t="inlineStr">
        <is>
          <t>QA/품질</t>
        </is>
      </c>
      <c r="H6" t="inlineStr">
        <is>
          <t>정현우(QA/지원)</t>
        </is>
      </c>
      <c r="I6" t="inlineStr">
        <is>
          <t>격주</t>
        </is>
      </c>
    </row>
    <row r="7">
      <c r="A7" t="inlineStr">
        <is>
          <t>월간</t>
        </is>
      </c>
      <c r="B7" t="n">
        <v>1</v>
      </c>
      <c r="D7" t="inlineStr">
        <is>
          <t>관리/지원</t>
        </is>
      </c>
      <c r="I7" t="inlineStr">
        <is>
          <t>월간</t>
        </is>
      </c>
    </row>
    <row r="8">
      <c r="A8" t="inlineStr">
        <is>
          <t>분기</t>
        </is>
      </c>
      <c r="B8" t="n">
        <v>0.33</v>
      </c>
      <c r="I8" t="inlineStr">
        <is>
          <t>분기</t>
        </is>
      </c>
    </row>
    <row r="9">
      <c r="A9" t="inlineStr">
        <is>
          <t>반기</t>
        </is>
      </c>
      <c r="B9" t="n">
        <v>0.17</v>
      </c>
      <c r="I9" t="inlineStr">
        <is>
          <t>반기</t>
        </is>
      </c>
    </row>
    <row r="10">
      <c r="A10" t="inlineStr">
        <is>
          <t>연간</t>
        </is>
      </c>
      <c r="B10" t="n">
        <v>0.083</v>
      </c>
      <c r="I10" t="inlineStr">
        <is>
          <t>연간</t>
        </is>
      </c>
    </row>
    <row r="11">
      <c r="A11" t="inlineStr">
        <is>
          <t>수시</t>
        </is>
      </c>
      <c r="B11" t="n">
        <v>0</v>
      </c>
      <c r="I11" t="inlineStr">
        <is>
          <t>수시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2026-06-23T09:23:40Z</dcterms:created>
  <dcterms:modified xsi:type="dcterms:W3CDTF">2026-06-23T09:23:40Z</dcterms:modified>
</cp:coreProperties>
</file>